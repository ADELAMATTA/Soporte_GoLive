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4.xml" ContentType="application/vnd.openxmlformats-officedocument.spreadsheetml.table+xml"/>
  <Override PartName="/xl/pivotTables/pivotTable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adelamatta\Downloads\"/>
    </mc:Choice>
  </mc:AlternateContent>
  <xr:revisionPtr revIDLastSave="0" documentId="13_ncr:1_{437CFC50-72B2-4767-92B6-A4F83270B374}" xr6:coauthVersionLast="47" xr6:coauthVersionMax="47" xr10:uidLastSave="{00000000-0000-0000-0000-000000000000}"/>
  <bookViews>
    <workbookView xWindow="-108" yWindow="-108" windowWidth="23256" windowHeight="12456" tabRatio="636" firstSheet="1" activeTab="1" xr2:uid="{00000000-000D-0000-FFFF-FFFF00000000}"/>
  </bookViews>
  <sheets>
    <sheet name="Hoja1 (2)" sheetId="15" state="hidden" r:id="rId1"/>
    <sheet name="Incidencias" sheetId="2" r:id="rId2"/>
    <sheet name="Hoja1" sheetId="16" state="hidden" r:id="rId3"/>
    <sheet name="Comite" sheetId="11" state="hidden" r:id="rId4"/>
    <sheet name="Horas" sheetId="9" state="hidden" r:id="rId5"/>
    <sheet name="Plan" sheetId="6" state="hidden" r:id="rId6"/>
    <sheet name="CdM" sheetId="5" r:id="rId7"/>
    <sheet name="CdM2" sheetId="7" state="hidden" r:id="rId8"/>
    <sheet name="Datos" sheetId="8" r:id="rId9"/>
    <sheet name="Status" sheetId="10" r:id="rId10"/>
  </sheets>
  <definedNames>
    <definedName name="_xlnm._FilterDatabase" localSheetId="7" hidden="1">'CdM2'!$A$1:$E$397</definedName>
    <definedName name="_xlnm._FilterDatabase" localSheetId="3" hidden="1">Comite!$A$1:$K$47</definedName>
    <definedName name="_xlnm._FilterDatabase" localSheetId="4" hidden="1">Horas!$A$1:$D$521</definedName>
    <definedName name="_xlnm._FilterDatabase" localSheetId="1" hidden="1">Incidencias!$A$8:$A$8</definedName>
    <definedName name="_xlnm.Print_Area" localSheetId="1">Incidencias!$B$8:$O$211</definedName>
    <definedName name="prioridad">#REF!</definedName>
    <definedName name="sistema">#REF!</definedName>
    <definedName name="status">#REF!</definedName>
    <definedName name="tipo">#REF!</definedName>
    <definedName name="_xlnm.Print_Titles" localSheetId="1">Incidencias!$8:$8</definedName>
  </definedNames>
  <calcPr calcId="181029"/>
  <pivotCaches>
    <pivotCache cacheId="0" r:id="rId11"/>
    <pivotCache cacheId="1" r:id="rId12"/>
    <pivotCache cacheId="2" r:id="rId13"/>
    <pivotCache cacheId="3" r:id="rId14"/>
    <pivotCache cacheId="4" r:id="rId1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29" i="7" l="1"/>
  <c r="B329" i="7"/>
  <c r="A329" i="7"/>
  <c r="C328" i="7"/>
  <c r="B328" i="7"/>
  <c r="A328" i="7"/>
  <c r="C327" i="7"/>
  <c r="B327" i="7"/>
  <c r="A327" i="7"/>
  <c r="C326" i="7"/>
  <c r="B326" i="7"/>
  <c r="A326" i="7"/>
  <c r="C325" i="7"/>
  <c r="B325" i="7"/>
  <c r="A325" i="7"/>
  <c r="C324" i="7"/>
  <c r="B324" i="7"/>
  <c r="A324" i="7"/>
  <c r="C323" i="7"/>
  <c r="B323" i="7"/>
  <c r="A323" i="7"/>
  <c r="C322" i="7"/>
  <c r="B322" i="7"/>
  <c r="A322" i="7"/>
  <c r="C321" i="7"/>
  <c r="B321" i="7"/>
  <c r="A321" i="7"/>
  <c r="C320" i="7"/>
  <c r="B320" i="7"/>
  <c r="A320" i="7"/>
  <c r="C319" i="7"/>
  <c r="B319" i="7"/>
  <c r="A319" i="7"/>
  <c r="C318" i="7"/>
  <c r="B318" i="7"/>
  <c r="A318" i="7"/>
  <c r="C317" i="7"/>
  <c r="B317" i="7"/>
  <c r="A317" i="7"/>
  <c r="C316" i="7"/>
  <c r="B316" i="7"/>
  <c r="A316" i="7"/>
  <c r="C315" i="7"/>
  <c r="B315" i="7"/>
  <c r="A315" i="7"/>
  <c r="C314" i="7"/>
  <c r="B314" i="7"/>
  <c r="A314" i="7"/>
  <c r="C313" i="7"/>
  <c r="B313" i="7"/>
  <c r="A313" i="7"/>
  <c r="C312" i="7"/>
  <c r="B312" i="7"/>
  <c r="A312" i="7"/>
  <c r="C311" i="7"/>
  <c r="B311" i="7"/>
  <c r="A311" i="7"/>
  <c r="C310" i="7"/>
  <c r="B310" i="7"/>
  <c r="A310" i="7"/>
  <c r="C309" i="7"/>
  <c r="B309" i="7"/>
  <c r="A309" i="7"/>
  <c r="C308" i="7"/>
  <c r="B308" i="7"/>
  <c r="A308" i="7"/>
  <c r="C307" i="7"/>
  <c r="B307" i="7"/>
  <c r="A307" i="7"/>
  <c r="C306" i="7"/>
  <c r="B306" i="7"/>
  <c r="A306" i="7"/>
  <c r="C305" i="7"/>
  <c r="B305" i="7"/>
  <c r="A305" i="7"/>
  <c r="C304" i="7"/>
  <c r="B304" i="7"/>
  <c r="A304" i="7"/>
  <c r="C303" i="7"/>
  <c r="B303" i="7"/>
  <c r="A303" i="7"/>
  <c r="C302" i="7"/>
  <c r="B302" i="7"/>
  <c r="A302" i="7"/>
  <c r="C301" i="7"/>
  <c r="B301" i="7"/>
  <c r="A301" i="7"/>
  <c r="C300" i="7"/>
  <c r="B300" i="7"/>
  <c r="A300" i="7"/>
  <c r="C299" i="7"/>
  <c r="B299" i="7"/>
  <c r="A299" i="7"/>
  <c r="C298" i="7"/>
  <c r="B298" i="7"/>
  <c r="A298" i="7"/>
  <c r="C297" i="7"/>
  <c r="B297" i="7"/>
  <c r="A297" i="7"/>
  <c r="C296" i="7"/>
  <c r="B296" i="7"/>
  <c r="A296" i="7"/>
  <c r="C295" i="7"/>
  <c r="B295" i="7"/>
  <c r="A295" i="7"/>
  <c r="C294" i="7"/>
  <c r="B294" i="7"/>
  <c r="A294" i="7"/>
  <c r="C293" i="7"/>
  <c r="B293" i="7"/>
  <c r="A293" i="7"/>
  <c r="C292" i="7"/>
  <c r="B292" i="7"/>
  <c r="A292" i="7"/>
  <c r="C291" i="7"/>
  <c r="B291" i="7"/>
  <c r="A291" i="7"/>
  <c r="C290" i="7"/>
  <c r="B290" i="7"/>
  <c r="A290" i="7"/>
  <c r="C289" i="7"/>
  <c r="B289" i="7"/>
  <c r="A289" i="7"/>
  <c r="C288" i="7"/>
  <c r="B288" i="7"/>
  <c r="A288" i="7"/>
  <c r="C287" i="7"/>
  <c r="B287" i="7"/>
  <c r="A287" i="7"/>
  <c r="C286" i="7"/>
  <c r="B286" i="7"/>
  <c r="A286" i="7"/>
  <c r="C285" i="7"/>
  <c r="B285" i="7"/>
  <c r="A285" i="7"/>
  <c r="C284" i="7"/>
  <c r="B284" i="7"/>
  <c r="A284" i="7"/>
  <c r="C283" i="7"/>
  <c r="B283" i="7"/>
  <c r="A283" i="7"/>
  <c r="C282" i="7"/>
  <c r="B282" i="7"/>
  <c r="A282" i="7"/>
  <c r="C281" i="7"/>
  <c r="B281" i="7"/>
  <c r="A281" i="7"/>
  <c r="C280" i="7"/>
  <c r="B280" i="7"/>
  <c r="A280" i="7"/>
  <c r="C279" i="7"/>
  <c r="B279" i="7"/>
  <c r="A279" i="7"/>
  <c r="C278" i="7"/>
  <c r="B278" i="7"/>
  <c r="A278" i="7"/>
  <c r="C277" i="7"/>
  <c r="B277" i="7"/>
  <c r="A277" i="7"/>
  <c r="C276" i="7"/>
  <c r="B276" i="7"/>
  <c r="A276" i="7"/>
  <c r="C275" i="7"/>
  <c r="B275" i="7"/>
  <c r="A275" i="7"/>
  <c r="C274" i="7"/>
  <c r="B274" i="7"/>
  <c r="A274" i="7"/>
  <c r="C273" i="7"/>
  <c r="B273" i="7"/>
  <c r="A273" i="7"/>
  <c r="C272" i="7"/>
  <c r="B272" i="7"/>
  <c r="A272" i="7"/>
  <c r="C271" i="7"/>
  <c r="B271" i="7"/>
  <c r="A271" i="7"/>
  <c r="C270" i="7"/>
  <c r="B270" i="7"/>
  <c r="A270" i="7"/>
  <c r="C269" i="7"/>
  <c r="B269" i="7"/>
  <c r="A269" i="7"/>
  <c r="C268" i="7"/>
  <c r="B268" i="7"/>
  <c r="A268" i="7"/>
  <c r="C267" i="7"/>
  <c r="B267" i="7"/>
  <c r="A267" i="7"/>
  <c r="C266" i="7"/>
  <c r="B266" i="7"/>
  <c r="A266" i="7"/>
  <c r="C265" i="7"/>
  <c r="B265" i="7"/>
  <c r="A265" i="7"/>
  <c r="C264" i="7"/>
  <c r="B264" i="7"/>
  <c r="A264" i="7"/>
  <c r="C263" i="7"/>
  <c r="B263" i="7"/>
  <c r="A263" i="7"/>
  <c r="C262" i="7"/>
  <c r="B262" i="7"/>
  <c r="A262" i="7"/>
  <c r="C261" i="7"/>
  <c r="B261" i="7"/>
  <c r="A261" i="7"/>
  <c r="C260" i="7"/>
  <c r="B260" i="7"/>
  <c r="A260" i="7"/>
  <c r="C259" i="7"/>
  <c r="B259" i="7"/>
  <c r="A259" i="7"/>
  <c r="C258" i="7"/>
  <c r="B258" i="7"/>
  <c r="A258" i="7"/>
  <c r="C257" i="7"/>
  <c r="B257" i="7"/>
  <c r="A257" i="7"/>
  <c r="C256" i="7"/>
  <c r="B256" i="7"/>
  <c r="A256" i="7"/>
  <c r="C255" i="7"/>
  <c r="B255" i="7"/>
  <c r="A255" i="7"/>
  <c r="C254" i="7"/>
  <c r="B254" i="7"/>
  <c r="A254" i="7"/>
  <c r="C253" i="7"/>
  <c r="B253" i="7"/>
  <c r="A253" i="7"/>
  <c r="C252" i="7"/>
  <c r="B252" i="7"/>
  <c r="A252" i="7"/>
  <c r="C251" i="7"/>
  <c r="B251" i="7"/>
  <c r="A251" i="7"/>
  <c r="C250" i="7"/>
  <c r="B250" i="7"/>
  <c r="A250" i="7"/>
  <c r="C249" i="7"/>
  <c r="B249" i="7"/>
  <c r="A249" i="7"/>
  <c r="C248" i="7"/>
  <c r="B248" i="7"/>
  <c r="A248" i="7"/>
  <c r="C247" i="7"/>
  <c r="B247" i="7"/>
  <c r="A247" i="7"/>
  <c r="C246" i="7"/>
  <c r="B246" i="7"/>
  <c r="A246" i="7"/>
  <c r="C245" i="7"/>
  <c r="B245" i="7"/>
  <c r="A245" i="7"/>
  <c r="C244" i="7"/>
  <c r="B244" i="7"/>
  <c r="A244" i="7"/>
  <c r="C243" i="7"/>
  <c r="B243" i="7"/>
  <c r="A243" i="7"/>
  <c r="C242" i="7"/>
  <c r="B242" i="7"/>
  <c r="A242" i="7"/>
  <c r="C241" i="7"/>
  <c r="B241" i="7"/>
  <c r="A241" i="7"/>
  <c r="C240" i="7"/>
  <c r="B240" i="7"/>
  <c r="A240" i="7"/>
  <c r="C239" i="7"/>
  <c r="B239" i="7"/>
  <c r="A239" i="7"/>
  <c r="C238" i="7"/>
  <c r="B238" i="7"/>
  <c r="A238" i="7"/>
  <c r="C237" i="7"/>
  <c r="B237" i="7"/>
  <c r="A237" i="7"/>
  <c r="C236" i="7"/>
  <c r="B236" i="7"/>
  <c r="A236" i="7"/>
  <c r="C235" i="7"/>
  <c r="B235" i="7"/>
  <c r="A235" i="7"/>
  <c r="C234" i="7"/>
  <c r="B234" i="7"/>
  <c r="A234" i="7"/>
  <c r="C233" i="7"/>
  <c r="B233" i="7"/>
  <c r="A233" i="7"/>
  <c r="C232" i="7"/>
  <c r="B232" i="7"/>
  <c r="A232" i="7"/>
  <c r="C231" i="7"/>
  <c r="B231" i="7"/>
  <c r="A231" i="7"/>
  <c r="C230" i="7"/>
  <c r="B230" i="7"/>
  <c r="A230" i="7"/>
  <c r="C229" i="7"/>
  <c r="B229" i="7"/>
  <c r="A229" i="7"/>
  <c r="C228" i="7"/>
  <c r="B228" i="7"/>
  <c r="A228" i="7"/>
  <c r="C227" i="7"/>
  <c r="B227" i="7"/>
  <c r="A227" i="7"/>
  <c r="C226" i="7"/>
  <c r="B226" i="7"/>
  <c r="A226" i="7"/>
  <c r="C225" i="7"/>
  <c r="B225" i="7"/>
  <c r="A225" i="7"/>
  <c r="C224" i="7"/>
  <c r="B224" i="7"/>
  <c r="A224" i="7"/>
  <c r="C223" i="7"/>
  <c r="B223" i="7"/>
  <c r="A223" i="7"/>
  <c r="C222" i="7"/>
  <c r="B222" i="7"/>
  <c r="A222" i="7"/>
  <c r="C221" i="7"/>
  <c r="B221" i="7"/>
  <c r="A221" i="7"/>
  <c r="C220" i="7"/>
  <c r="B220" i="7"/>
  <c r="A220" i="7"/>
  <c r="C219" i="7"/>
  <c r="B219" i="7"/>
  <c r="A219" i="7"/>
  <c r="C218" i="7"/>
  <c r="B218" i="7"/>
  <c r="A218" i="7"/>
  <c r="C217" i="7"/>
  <c r="B217" i="7"/>
  <c r="A217" i="7"/>
  <c r="C216" i="7"/>
  <c r="B216" i="7"/>
  <c r="A216" i="7"/>
  <c r="C215" i="7"/>
  <c r="B215" i="7"/>
  <c r="A215" i="7"/>
  <c r="C214" i="7"/>
  <c r="B214" i="7"/>
  <c r="A214" i="7"/>
  <c r="C213" i="7"/>
  <c r="B213" i="7"/>
  <c r="A213" i="7"/>
  <c r="C212" i="7"/>
  <c r="B212" i="7"/>
  <c r="A212" i="7"/>
  <c r="C211" i="7"/>
  <c r="B211" i="7"/>
  <c r="A211" i="7"/>
  <c r="C210" i="7"/>
  <c r="B210" i="7"/>
  <c r="A210" i="7"/>
  <c r="C209" i="7"/>
  <c r="B209" i="7"/>
  <c r="A209" i="7"/>
  <c r="C208" i="7"/>
  <c r="B208" i="7"/>
  <c r="A208" i="7"/>
  <c r="C207" i="7"/>
  <c r="B207" i="7"/>
  <c r="A207" i="7"/>
  <c r="C206" i="7"/>
  <c r="B206" i="7"/>
  <c r="A206" i="7"/>
  <c r="C205" i="7"/>
  <c r="B205" i="7"/>
  <c r="A205" i="7"/>
  <c r="C204" i="7"/>
  <c r="B204" i="7"/>
  <c r="A204" i="7"/>
  <c r="C203" i="7"/>
  <c r="B203" i="7"/>
  <c r="A203" i="7"/>
  <c r="C202" i="7"/>
  <c r="B202" i="7"/>
  <c r="A202" i="7"/>
  <c r="C201" i="7"/>
  <c r="B201" i="7"/>
  <c r="A201" i="7"/>
  <c r="C200" i="7"/>
  <c r="B200" i="7"/>
  <c r="A200" i="7"/>
  <c r="C199" i="7"/>
  <c r="B199" i="7"/>
  <c r="A199" i="7"/>
  <c r="C198" i="7"/>
  <c r="B198" i="7"/>
  <c r="A198" i="7"/>
  <c r="C197" i="7"/>
  <c r="B197" i="7"/>
  <c r="A197" i="7"/>
  <c r="C196" i="7"/>
  <c r="B196" i="7"/>
  <c r="A196" i="7"/>
  <c r="C195" i="7"/>
  <c r="B195" i="7"/>
  <c r="A195" i="7"/>
  <c r="C194" i="7"/>
  <c r="B194" i="7"/>
  <c r="A194" i="7"/>
  <c r="C193" i="7"/>
  <c r="B193" i="7"/>
  <c r="A193" i="7"/>
  <c r="C192" i="7"/>
  <c r="B192" i="7"/>
  <c r="A192" i="7"/>
  <c r="C191" i="7"/>
  <c r="B191" i="7"/>
  <c r="A191" i="7"/>
  <c r="C190" i="7"/>
  <c r="B190" i="7"/>
  <c r="A190" i="7"/>
  <c r="C189" i="7"/>
  <c r="B189" i="7"/>
  <c r="A189" i="7"/>
  <c r="C188" i="7"/>
  <c r="B188" i="7"/>
  <c r="A188" i="7"/>
  <c r="C187" i="7"/>
  <c r="B187" i="7"/>
  <c r="A187" i="7"/>
  <c r="C186" i="7"/>
  <c r="B186" i="7"/>
  <c r="A186" i="7"/>
  <c r="C185" i="7"/>
  <c r="B185" i="7"/>
  <c r="A185" i="7"/>
  <c r="C184" i="7"/>
  <c r="B184" i="7"/>
  <c r="A184" i="7"/>
  <c r="C183" i="7"/>
  <c r="B183" i="7"/>
  <c r="A183" i="7"/>
  <c r="C182" i="7"/>
  <c r="B182" i="7"/>
  <c r="A182" i="7"/>
  <c r="C181" i="7"/>
  <c r="B181" i="7"/>
  <c r="A181" i="7"/>
  <c r="C180" i="7"/>
  <c r="B180" i="7"/>
  <c r="A180" i="7"/>
  <c r="C179" i="7"/>
  <c r="B179" i="7"/>
  <c r="A179" i="7"/>
  <c r="C178" i="7"/>
  <c r="B178" i="7"/>
  <c r="A178" i="7"/>
  <c r="C177" i="7"/>
  <c r="B177" i="7"/>
  <c r="A177" i="7"/>
  <c r="C176" i="7"/>
  <c r="B176" i="7"/>
  <c r="A176" i="7"/>
  <c r="C175" i="7"/>
  <c r="B175" i="7"/>
  <c r="A175" i="7"/>
  <c r="C174" i="7"/>
  <c r="B174" i="7"/>
  <c r="A174" i="7"/>
  <c r="C173" i="7"/>
  <c r="B173" i="7"/>
  <c r="A173" i="7"/>
  <c r="C172" i="7"/>
  <c r="B172" i="7"/>
  <c r="A172" i="7"/>
  <c r="C171" i="7"/>
  <c r="B171" i="7"/>
  <c r="A171" i="7"/>
  <c r="C170" i="7"/>
  <c r="B170" i="7"/>
  <c r="A170" i="7"/>
  <c r="C169" i="7"/>
  <c r="B169" i="7"/>
  <c r="A169" i="7"/>
  <c r="C168" i="7"/>
  <c r="B168" i="7"/>
  <c r="A168" i="7"/>
  <c r="C167" i="7"/>
  <c r="B167" i="7"/>
  <c r="A167" i="7"/>
  <c r="C166" i="7"/>
  <c r="B166" i="7"/>
  <c r="A166" i="7"/>
  <c r="C165" i="7"/>
  <c r="B165" i="7"/>
  <c r="A165" i="7"/>
  <c r="C164" i="7"/>
  <c r="B164" i="7"/>
  <c r="A164" i="7"/>
  <c r="C163" i="7"/>
  <c r="B163" i="7"/>
  <c r="A163" i="7"/>
  <c r="C162" i="7"/>
  <c r="B162" i="7"/>
  <c r="A162" i="7"/>
  <c r="C161" i="7"/>
  <c r="B161" i="7"/>
  <c r="A161" i="7"/>
  <c r="C160" i="7"/>
  <c r="B160" i="7"/>
  <c r="A160" i="7"/>
  <c r="C159" i="7"/>
  <c r="B159" i="7"/>
  <c r="A159" i="7"/>
  <c r="C158" i="7"/>
  <c r="B158" i="7"/>
  <c r="A158" i="7"/>
  <c r="C157" i="7"/>
  <c r="B157" i="7"/>
  <c r="A157" i="7"/>
  <c r="C156" i="7"/>
  <c r="B156" i="7"/>
  <c r="A156" i="7"/>
  <c r="C155" i="7"/>
  <c r="B155" i="7"/>
  <c r="A155" i="7"/>
  <c r="C154" i="7"/>
  <c r="B154" i="7"/>
  <c r="A154" i="7"/>
  <c r="C153" i="7"/>
  <c r="B153" i="7"/>
  <c r="A153" i="7"/>
  <c r="C152" i="7"/>
  <c r="B152" i="7"/>
  <c r="A152" i="7"/>
  <c r="C151" i="7"/>
  <c r="B151" i="7"/>
  <c r="A151" i="7"/>
  <c r="C150" i="7"/>
  <c r="B150" i="7"/>
  <c r="A150" i="7"/>
  <c r="C149" i="7"/>
  <c r="B149" i="7"/>
  <c r="A149" i="7"/>
  <c r="C148" i="7"/>
  <c r="B148" i="7"/>
  <c r="A148" i="7"/>
  <c r="C147" i="7"/>
  <c r="B147" i="7"/>
  <c r="A147" i="7"/>
  <c r="C146" i="7"/>
  <c r="B146" i="7"/>
  <c r="A146" i="7"/>
  <c r="C145" i="7"/>
  <c r="B145" i="7"/>
  <c r="A145" i="7"/>
  <c r="C144" i="7"/>
  <c r="B144" i="7"/>
  <c r="A144" i="7"/>
  <c r="C143" i="7"/>
  <c r="B143" i="7"/>
  <c r="A143" i="7"/>
  <c r="C142" i="7"/>
  <c r="B142" i="7"/>
  <c r="A142" i="7"/>
  <c r="C141" i="7"/>
  <c r="B141" i="7"/>
  <c r="A141" i="7"/>
  <c r="C140" i="7"/>
  <c r="B140" i="7"/>
  <c r="A140" i="7"/>
  <c r="C139" i="7"/>
  <c r="B139" i="7"/>
  <c r="A139" i="7"/>
  <c r="C138" i="7"/>
  <c r="B138" i="7"/>
  <c r="A138" i="7"/>
  <c r="C137" i="7"/>
  <c r="B137" i="7"/>
  <c r="A137" i="7"/>
  <c r="C136" i="7"/>
  <c r="B136" i="7"/>
  <c r="A136" i="7"/>
  <c r="C135" i="7"/>
  <c r="B135" i="7"/>
  <c r="A135" i="7"/>
  <c r="C134" i="7"/>
  <c r="B134" i="7"/>
  <c r="A134" i="7"/>
  <c r="C133" i="7"/>
  <c r="B133" i="7"/>
  <c r="A133" i="7"/>
  <c r="C132" i="7"/>
  <c r="B132" i="7"/>
  <c r="A132" i="7"/>
  <c r="C131" i="7"/>
  <c r="B131" i="7"/>
  <c r="A131" i="7"/>
  <c r="C130" i="7"/>
  <c r="B130" i="7"/>
  <c r="A130" i="7"/>
  <c r="C129" i="7"/>
  <c r="B129" i="7"/>
  <c r="A129" i="7"/>
  <c r="C128" i="7"/>
  <c r="B128" i="7"/>
  <c r="A128" i="7"/>
  <c r="C127" i="7"/>
  <c r="B127" i="7"/>
  <c r="A127" i="7"/>
  <c r="C126" i="7"/>
  <c r="B126" i="7"/>
  <c r="A126" i="7"/>
  <c r="C125" i="7"/>
  <c r="B125" i="7"/>
  <c r="A125" i="7"/>
  <c r="C124" i="7"/>
  <c r="B124" i="7"/>
  <c r="A124" i="7"/>
  <c r="C123" i="7"/>
  <c r="B123" i="7"/>
  <c r="A123" i="7"/>
  <c r="C122" i="7"/>
  <c r="B122" i="7"/>
  <c r="A122" i="7"/>
  <c r="C121" i="7"/>
  <c r="B121" i="7"/>
  <c r="A121" i="7"/>
  <c r="C120" i="7"/>
  <c r="B120" i="7"/>
  <c r="A120" i="7"/>
  <c r="C119" i="7"/>
  <c r="B119" i="7"/>
  <c r="A119" i="7"/>
  <c r="C118" i="7"/>
  <c r="B118" i="7"/>
  <c r="A118" i="7"/>
  <c r="C117" i="7"/>
  <c r="B117" i="7"/>
  <c r="A117" i="7"/>
  <c r="C116" i="7"/>
  <c r="B116" i="7"/>
  <c r="A116" i="7"/>
  <c r="C115" i="7"/>
  <c r="B115" i="7"/>
  <c r="A115" i="7"/>
  <c r="C114" i="7"/>
  <c r="B114" i="7"/>
  <c r="A114" i="7"/>
  <c r="C113" i="7"/>
  <c r="B113" i="7"/>
  <c r="A113" i="7"/>
  <c r="C112" i="7"/>
  <c r="B112" i="7"/>
  <c r="A112" i="7"/>
  <c r="C111" i="7"/>
  <c r="B111" i="7"/>
  <c r="A111" i="7"/>
  <c r="C110" i="7"/>
  <c r="B110" i="7"/>
  <c r="A110" i="7"/>
  <c r="C109" i="7"/>
  <c r="B109" i="7"/>
  <c r="A109" i="7"/>
  <c r="C108" i="7"/>
  <c r="B108" i="7"/>
  <c r="A108" i="7"/>
  <c r="C107" i="7"/>
  <c r="B107" i="7"/>
  <c r="A107" i="7"/>
  <c r="C106" i="7"/>
  <c r="B106" i="7"/>
  <c r="A106" i="7"/>
  <c r="C105" i="7"/>
  <c r="B105" i="7"/>
  <c r="A105" i="7"/>
  <c r="C104" i="7"/>
  <c r="B104" i="7"/>
  <c r="A104" i="7"/>
  <c r="C103" i="7"/>
  <c r="B103" i="7"/>
  <c r="A103" i="7"/>
  <c r="C102" i="7"/>
  <c r="B102" i="7"/>
  <c r="A102" i="7"/>
  <c r="C101" i="7"/>
  <c r="B101" i="7"/>
  <c r="A101" i="7"/>
  <c r="C100" i="7"/>
  <c r="B100" i="7"/>
  <c r="A100" i="7"/>
  <c r="C99" i="7"/>
  <c r="B99" i="7"/>
  <c r="A99" i="7"/>
  <c r="C98" i="7"/>
  <c r="B98" i="7"/>
  <c r="A98" i="7"/>
  <c r="C97" i="7"/>
  <c r="B97" i="7"/>
  <c r="A97" i="7"/>
  <c r="C96" i="7"/>
  <c r="B96" i="7"/>
  <c r="A96" i="7"/>
  <c r="C95" i="7"/>
  <c r="B95" i="7"/>
  <c r="A95" i="7"/>
  <c r="C94" i="7"/>
  <c r="B94" i="7"/>
  <c r="A94" i="7"/>
  <c r="C93" i="7"/>
  <c r="B93" i="7"/>
  <c r="A93" i="7"/>
  <c r="C92" i="7"/>
  <c r="B92" i="7"/>
  <c r="A92" i="7"/>
  <c r="C91" i="7"/>
  <c r="B91" i="7"/>
  <c r="A91" i="7"/>
  <c r="C90" i="7"/>
  <c r="B90" i="7"/>
  <c r="A90" i="7"/>
  <c r="C89" i="7"/>
  <c r="B89" i="7"/>
  <c r="A89" i="7"/>
  <c r="C88" i="7"/>
  <c r="B88" i="7"/>
  <c r="A88" i="7"/>
  <c r="C87" i="7"/>
  <c r="E87" i="7" s="1"/>
  <c r="B87" i="7"/>
  <c r="A87" i="7"/>
  <c r="C86" i="7"/>
  <c r="D86" i="7" s="1"/>
  <c r="B86" i="7"/>
  <c r="A86" i="7"/>
  <c r="C85" i="7"/>
  <c r="E85" i="7" s="1"/>
  <c r="B85" i="7"/>
  <c r="A85" i="7"/>
  <c r="C84" i="7"/>
  <c r="D84" i="7" s="1"/>
  <c r="B84" i="7"/>
  <c r="A84" i="7"/>
  <c r="C83" i="7"/>
  <c r="B83" i="7"/>
  <c r="A83" i="7"/>
  <c r="C82" i="7"/>
  <c r="B82" i="7"/>
  <c r="A82" i="7"/>
  <c r="C81" i="7"/>
  <c r="B81" i="7"/>
  <c r="A81" i="7"/>
  <c r="C80" i="7"/>
  <c r="E80" i="7" s="1"/>
  <c r="B80" i="7"/>
  <c r="A80" i="7"/>
  <c r="C79" i="7"/>
  <c r="E79" i="7" s="1"/>
  <c r="B79" i="7"/>
  <c r="A79" i="7"/>
  <c r="C78" i="7"/>
  <c r="D78" i="7" s="1"/>
  <c r="B78" i="7"/>
  <c r="A78" i="7"/>
  <c r="C77" i="7"/>
  <c r="E77" i="7" s="1"/>
  <c r="B77" i="7"/>
  <c r="A77" i="7"/>
  <c r="C76" i="7"/>
  <c r="D76" i="7" s="1"/>
  <c r="B76" i="7"/>
  <c r="A76" i="7"/>
  <c r="C75" i="7"/>
  <c r="E75" i="7" s="1"/>
  <c r="B75" i="7"/>
  <c r="A75" i="7"/>
  <c r="C74" i="7"/>
  <c r="D74" i="7" s="1"/>
  <c r="B74" i="7"/>
  <c r="A74" i="7"/>
  <c r="C73" i="7"/>
  <c r="E73" i="7" s="1"/>
  <c r="B73" i="7"/>
  <c r="A73" i="7"/>
  <c r="C72" i="7"/>
  <c r="E72" i="7" s="1"/>
  <c r="B72" i="7"/>
  <c r="A72" i="7"/>
  <c r="C71" i="7"/>
  <c r="E71" i="7" s="1"/>
  <c r="B71" i="7"/>
  <c r="A71" i="7"/>
  <c r="C70" i="7"/>
  <c r="D70" i="7" s="1"/>
  <c r="B70" i="7"/>
  <c r="A70" i="7"/>
  <c r="C69" i="7"/>
  <c r="E69" i="7" s="1"/>
  <c r="B69" i="7"/>
  <c r="A69" i="7"/>
  <c r="C68" i="7"/>
  <c r="D68" i="7" s="1"/>
  <c r="B68" i="7"/>
  <c r="A68" i="7"/>
  <c r="C67" i="7"/>
  <c r="E67" i="7" s="1"/>
  <c r="B67" i="7"/>
  <c r="A67" i="7"/>
  <c r="C66" i="7"/>
  <c r="E66" i="7" s="1"/>
  <c r="B66" i="7"/>
  <c r="A66" i="7"/>
  <c r="C65" i="7"/>
  <c r="E65" i="7" s="1"/>
  <c r="B65" i="7"/>
  <c r="A65" i="7"/>
  <c r="C64" i="7"/>
  <c r="E64" i="7" s="1"/>
  <c r="B64" i="7"/>
  <c r="A64" i="7"/>
  <c r="C63" i="7"/>
  <c r="E63" i="7" s="1"/>
  <c r="B63" i="7"/>
  <c r="A63" i="7"/>
  <c r="C62" i="7"/>
  <c r="D62" i="7" s="1"/>
  <c r="B62" i="7"/>
  <c r="A62" i="7"/>
  <c r="C61" i="7"/>
  <c r="E61" i="7" s="1"/>
  <c r="B61" i="7"/>
  <c r="A61" i="7"/>
  <c r="C60" i="7"/>
  <c r="D60" i="7" s="1"/>
  <c r="B60" i="7"/>
  <c r="A60" i="7"/>
  <c r="C59" i="7"/>
  <c r="E59" i="7" s="1"/>
  <c r="B59" i="7"/>
  <c r="A59" i="7"/>
  <c r="C58" i="7"/>
  <c r="E58" i="7" s="1"/>
  <c r="B58" i="7"/>
  <c r="A58" i="7"/>
  <c r="C57" i="7"/>
  <c r="D57" i="7" s="1"/>
  <c r="B57" i="7"/>
  <c r="A57" i="7"/>
  <c r="C56" i="7"/>
  <c r="E56" i="7" s="1"/>
  <c r="B56" i="7"/>
  <c r="A56" i="7"/>
  <c r="C55" i="7"/>
  <c r="E55" i="7" s="1"/>
  <c r="B55" i="7"/>
  <c r="A55" i="7"/>
  <c r="C54" i="7"/>
  <c r="D54" i="7" s="1"/>
  <c r="B54" i="7"/>
  <c r="A54" i="7"/>
  <c r="C53" i="7"/>
  <c r="E53" i="7" s="1"/>
  <c r="B53" i="7"/>
  <c r="A53" i="7"/>
  <c r="C52" i="7"/>
  <c r="D52" i="7" s="1"/>
  <c r="B52" i="7"/>
  <c r="A52" i="7"/>
  <c r="C51" i="7"/>
  <c r="E51" i="7" s="1"/>
  <c r="B51" i="7"/>
  <c r="A51" i="7"/>
  <c r="C50" i="7"/>
  <c r="E50" i="7" s="1"/>
  <c r="B50" i="7"/>
  <c r="A50" i="7"/>
  <c r="C49" i="7"/>
  <c r="D49" i="7" s="1"/>
  <c r="B49" i="7"/>
  <c r="A49" i="7"/>
  <c r="C48" i="7"/>
  <c r="E48" i="7" s="1"/>
  <c r="B48" i="7"/>
  <c r="A48" i="7"/>
  <c r="C47" i="7"/>
  <c r="E47" i="7" s="1"/>
  <c r="B47" i="7"/>
  <c r="A47" i="7"/>
  <c r="C46" i="7"/>
  <c r="D46" i="7" s="1"/>
  <c r="B46" i="7"/>
  <c r="A46" i="7"/>
  <c r="C45" i="7"/>
  <c r="E45" i="7" s="1"/>
  <c r="B45" i="7"/>
  <c r="A45" i="7"/>
  <c r="C44" i="7"/>
  <c r="D44" i="7" s="1"/>
  <c r="B44" i="7"/>
  <c r="A44" i="7"/>
  <c r="C43" i="7"/>
  <c r="E43" i="7" s="1"/>
  <c r="B43" i="7"/>
  <c r="A43" i="7"/>
  <c r="C42" i="7"/>
  <c r="B42" i="7"/>
  <c r="A42" i="7"/>
  <c r="C41" i="7"/>
  <c r="D41" i="7" s="1"/>
  <c r="B41" i="7"/>
  <c r="A41" i="7"/>
  <c r="C40" i="7"/>
  <c r="E40" i="7" s="1"/>
  <c r="B40" i="7"/>
  <c r="A40" i="7"/>
  <c r="C39" i="7"/>
  <c r="E39" i="7" s="1"/>
  <c r="B39" i="7"/>
  <c r="A39" i="7"/>
  <c r="C38" i="7"/>
  <c r="D38" i="7" s="1"/>
  <c r="B38" i="7"/>
  <c r="A38" i="7"/>
  <c r="C37" i="7"/>
  <c r="E37" i="7" s="1"/>
  <c r="B37" i="7"/>
  <c r="A37" i="7"/>
  <c r="C36" i="7"/>
  <c r="D36" i="7" s="1"/>
  <c r="B36" i="7"/>
  <c r="A36" i="7"/>
  <c r="C35" i="7"/>
  <c r="E35" i="7" s="1"/>
  <c r="B35" i="7"/>
  <c r="A35" i="7"/>
  <c r="C34" i="7"/>
  <c r="E34" i="7" s="1"/>
  <c r="B34" i="7"/>
  <c r="A34" i="7"/>
  <c r="C33" i="7"/>
  <c r="E33" i="7" s="1"/>
  <c r="B33" i="7"/>
  <c r="A33" i="7"/>
  <c r="C32" i="7"/>
  <c r="E32" i="7" s="1"/>
  <c r="B32" i="7"/>
  <c r="A32" i="7"/>
  <c r="C31" i="7"/>
  <c r="E31" i="7" s="1"/>
  <c r="B31" i="7"/>
  <c r="A31" i="7"/>
  <c r="C30" i="7"/>
  <c r="D30" i="7" s="1"/>
  <c r="B30" i="7"/>
  <c r="A30" i="7"/>
  <c r="C29" i="7"/>
  <c r="E29" i="7" s="1"/>
  <c r="B29" i="7"/>
  <c r="A29" i="7"/>
  <c r="C28" i="7"/>
  <c r="D28" i="7" s="1"/>
  <c r="B28" i="7"/>
  <c r="A28" i="7"/>
  <c r="C27" i="7"/>
  <c r="E27" i="7" s="1"/>
  <c r="B27" i="7"/>
  <c r="A27" i="7"/>
  <c r="C26" i="7"/>
  <c r="E26" i="7" s="1"/>
  <c r="B26" i="7"/>
  <c r="A26" i="7"/>
  <c r="C25" i="7"/>
  <c r="E25" i="7" s="1"/>
  <c r="B25" i="7"/>
  <c r="A25" i="7"/>
  <c r="C24" i="7"/>
  <c r="E24" i="7" s="1"/>
  <c r="B24" i="7"/>
  <c r="A24" i="7"/>
  <c r="C23" i="7"/>
  <c r="E23" i="7" s="1"/>
  <c r="B23" i="7"/>
  <c r="A23" i="7"/>
  <c r="C22" i="7"/>
  <c r="D22" i="7" s="1"/>
  <c r="B22" i="7"/>
  <c r="A22" i="7"/>
  <c r="C21" i="7"/>
  <c r="E21" i="7" s="1"/>
  <c r="B21" i="7"/>
  <c r="A21" i="7"/>
  <c r="C20" i="7"/>
  <c r="D20" i="7" s="1"/>
  <c r="B20" i="7"/>
  <c r="A20" i="7"/>
  <c r="C19" i="7"/>
  <c r="E19" i="7" s="1"/>
  <c r="B19" i="7"/>
  <c r="A19" i="7"/>
  <c r="C18" i="7"/>
  <c r="E18" i="7" s="1"/>
  <c r="B18" i="7"/>
  <c r="A18" i="7"/>
  <c r="C17" i="7"/>
  <c r="E17" i="7" s="1"/>
  <c r="B17" i="7"/>
  <c r="A17" i="7"/>
  <c r="C16" i="7"/>
  <c r="E16" i="7" s="1"/>
  <c r="B16" i="7"/>
  <c r="A16" i="7"/>
  <c r="C15" i="7"/>
  <c r="E15" i="7" s="1"/>
  <c r="B15" i="7"/>
  <c r="A15" i="7"/>
  <c r="C14" i="7"/>
  <c r="D14" i="7" s="1"/>
  <c r="B14" i="7"/>
  <c r="A14" i="7"/>
  <c r="C13" i="7"/>
  <c r="E13" i="7" s="1"/>
  <c r="B13" i="7"/>
  <c r="A13" i="7"/>
  <c r="C12" i="7"/>
  <c r="D12" i="7" s="1"/>
  <c r="B12" i="7"/>
  <c r="A12" i="7"/>
  <c r="C11" i="7"/>
  <c r="E11" i="7" s="1"/>
  <c r="B11" i="7"/>
  <c r="A11" i="7"/>
  <c r="C10" i="7"/>
  <c r="E10" i="7" s="1"/>
  <c r="B10" i="7"/>
  <c r="A10" i="7"/>
  <c r="C9" i="7"/>
  <c r="E9" i="7" s="1"/>
  <c r="B9" i="7"/>
  <c r="A9" i="7"/>
  <c r="C8" i="7"/>
  <c r="E8" i="7" s="1"/>
  <c r="B8" i="7"/>
  <c r="A8" i="7"/>
  <c r="C7" i="7"/>
  <c r="E7" i="7" s="1"/>
  <c r="B7" i="7"/>
  <c r="A7" i="7"/>
  <c r="C6" i="7"/>
  <c r="D6" i="7" s="1"/>
  <c r="B6" i="7"/>
  <c r="A6" i="7"/>
  <c r="C5" i="7"/>
  <c r="E5" i="7" s="1"/>
  <c r="B5" i="7"/>
  <c r="A5" i="7"/>
  <c r="C4" i="7"/>
  <c r="E4" i="7" s="1"/>
  <c r="B4" i="7"/>
  <c r="A4" i="7"/>
  <c r="C3" i="7"/>
  <c r="E3" i="7" s="1"/>
  <c r="B3" i="7"/>
  <c r="A3" i="7"/>
  <c r="C2" i="7"/>
  <c r="B2" i="7"/>
  <c r="A2" i="7"/>
  <c r="R261" i="5"/>
  <c r="Q261" i="5"/>
  <c r="P261" i="5"/>
  <c r="R260" i="5"/>
  <c r="Q260" i="5"/>
  <c r="P260" i="5"/>
  <c r="R259" i="5"/>
  <c r="Q259" i="5"/>
  <c r="P259" i="5"/>
  <c r="R258" i="5"/>
  <c r="Q258" i="5"/>
  <c r="P258" i="5"/>
  <c r="R257" i="5"/>
  <c r="Q257" i="5"/>
  <c r="P257" i="5"/>
  <c r="R256" i="5"/>
  <c r="Q256" i="5"/>
  <c r="P256" i="5"/>
  <c r="R255" i="5"/>
  <c r="Q255" i="5"/>
  <c r="P255" i="5"/>
  <c r="R254" i="5"/>
  <c r="Q254" i="5"/>
  <c r="P254" i="5"/>
  <c r="R253" i="5"/>
  <c r="Q253" i="5"/>
  <c r="P253" i="5"/>
  <c r="R252" i="5"/>
  <c r="Q252" i="5"/>
  <c r="P252" i="5"/>
  <c r="R251" i="5"/>
  <c r="Q251" i="5"/>
  <c r="P251" i="5"/>
  <c r="D251" i="5"/>
  <c r="C251" i="5"/>
  <c r="B251" i="5"/>
  <c r="A251" i="5"/>
  <c r="R250" i="5"/>
  <c r="Q250" i="5"/>
  <c r="P250" i="5"/>
  <c r="D250" i="5"/>
  <c r="C250" i="5"/>
  <c r="B250" i="5"/>
  <c r="A250" i="5"/>
  <c r="R249" i="5"/>
  <c r="Q249" i="5"/>
  <c r="P249" i="5"/>
  <c r="D249" i="5"/>
  <c r="C249" i="5"/>
  <c r="B249" i="5"/>
  <c r="A249" i="5"/>
  <c r="R248" i="5"/>
  <c r="Q248" i="5"/>
  <c r="P248" i="5"/>
  <c r="D248" i="5"/>
  <c r="C248" i="5"/>
  <c r="B248" i="5"/>
  <c r="A248" i="5"/>
  <c r="R247" i="5"/>
  <c r="Q247" i="5"/>
  <c r="P247" i="5"/>
  <c r="D247" i="5"/>
  <c r="C247" i="5"/>
  <c r="B247" i="5"/>
  <c r="A247" i="5"/>
  <c r="R246" i="5"/>
  <c r="Q246" i="5"/>
  <c r="P246" i="5"/>
  <c r="D246" i="5"/>
  <c r="C246" i="5"/>
  <c r="B246" i="5"/>
  <c r="A246" i="5"/>
  <c r="R245" i="5"/>
  <c r="Q245" i="5"/>
  <c r="P245" i="5"/>
  <c r="D245" i="5"/>
  <c r="C245" i="5"/>
  <c r="B245" i="5"/>
  <c r="A245" i="5"/>
  <c r="R244" i="5"/>
  <c r="Q244" i="5"/>
  <c r="P244" i="5"/>
  <c r="D244" i="5"/>
  <c r="C244" i="5"/>
  <c r="B244" i="5"/>
  <c r="A244" i="5"/>
  <c r="R243" i="5"/>
  <c r="Q243" i="5"/>
  <c r="P243" i="5"/>
  <c r="D243" i="5"/>
  <c r="C243" i="5"/>
  <c r="B243" i="5"/>
  <c r="A243" i="5"/>
  <c r="R242" i="5"/>
  <c r="Q242" i="5"/>
  <c r="P242" i="5"/>
  <c r="D242" i="5"/>
  <c r="C242" i="5"/>
  <c r="B242" i="5"/>
  <c r="A242" i="5"/>
  <c r="R241" i="5"/>
  <c r="Q241" i="5"/>
  <c r="P241" i="5"/>
  <c r="D241" i="5"/>
  <c r="C241" i="5"/>
  <c r="B241" i="5"/>
  <c r="A241" i="5"/>
  <c r="R240" i="5"/>
  <c r="Q240" i="5"/>
  <c r="P240" i="5"/>
  <c r="D240" i="5"/>
  <c r="C240" i="5"/>
  <c r="B240" i="5"/>
  <c r="A240" i="5"/>
  <c r="R239" i="5"/>
  <c r="Q239" i="5"/>
  <c r="P239" i="5"/>
  <c r="D239" i="5"/>
  <c r="C239" i="5"/>
  <c r="B239" i="5"/>
  <c r="A239" i="5"/>
  <c r="R238" i="5"/>
  <c r="Q238" i="5"/>
  <c r="P238" i="5"/>
  <c r="D238" i="5"/>
  <c r="C238" i="5"/>
  <c r="B238" i="5"/>
  <c r="A238" i="5"/>
  <c r="R237" i="5"/>
  <c r="Q237" i="5"/>
  <c r="P237" i="5"/>
  <c r="D237" i="5"/>
  <c r="C237" i="5"/>
  <c r="B237" i="5"/>
  <c r="A237" i="5"/>
  <c r="R236" i="5"/>
  <c r="Q236" i="5"/>
  <c r="P236" i="5"/>
  <c r="D236" i="5"/>
  <c r="C236" i="5"/>
  <c r="B236" i="5"/>
  <c r="A236" i="5"/>
  <c r="R235" i="5"/>
  <c r="Q235" i="5"/>
  <c r="P235" i="5"/>
  <c r="D235" i="5"/>
  <c r="C235" i="5"/>
  <c r="B235" i="5"/>
  <c r="A235" i="5"/>
  <c r="R234" i="5"/>
  <c r="Q234" i="5"/>
  <c r="P234" i="5"/>
  <c r="D234" i="5"/>
  <c r="C234" i="5"/>
  <c r="B234" i="5"/>
  <c r="A234" i="5"/>
  <c r="R233" i="5"/>
  <c r="Q233" i="5"/>
  <c r="P233" i="5"/>
  <c r="D233" i="5"/>
  <c r="C233" i="5"/>
  <c r="B233" i="5"/>
  <c r="A233" i="5"/>
  <c r="R232" i="5"/>
  <c r="Q232" i="5"/>
  <c r="P232" i="5"/>
  <c r="D232" i="5"/>
  <c r="C232" i="5"/>
  <c r="B232" i="5"/>
  <c r="A232" i="5"/>
  <c r="R231" i="5"/>
  <c r="Q231" i="5"/>
  <c r="P231" i="5"/>
  <c r="D231" i="5"/>
  <c r="C231" i="5"/>
  <c r="B231" i="5"/>
  <c r="A231" i="5"/>
  <c r="R230" i="5"/>
  <c r="Q230" i="5"/>
  <c r="P230" i="5"/>
  <c r="D230" i="5"/>
  <c r="C230" i="5"/>
  <c r="B230" i="5"/>
  <c r="A230" i="5"/>
  <c r="R229" i="5"/>
  <c r="Q229" i="5"/>
  <c r="P229" i="5"/>
  <c r="D229" i="5"/>
  <c r="C229" i="5"/>
  <c r="B229" i="5"/>
  <c r="A229" i="5"/>
  <c r="R228" i="5"/>
  <c r="Q228" i="5"/>
  <c r="P228" i="5"/>
  <c r="D228" i="5"/>
  <c r="C228" i="5"/>
  <c r="B228" i="5"/>
  <c r="A228" i="5"/>
  <c r="R227" i="5"/>
  <c r="Q227" i="5"/>
  <c r="P227" i="5"/>
  <c r="D227" i="5"/>
  <c r="C227" i="5"/>
  <c r="B227" i="5"/>
  <c r="A227" i="5"/>
  <c r="R226" i="5"/>
  <c r="Q226" i="5"/>
  <c r="P226" i="5"/>
  <c r="D226" i="5"/>
  <c r="C226" i="5"/>
  <c r="B226" i="5"/>
  <c r="A226" i="5"/>
  <c r="R225" i="5"/>
  <c r="Q225" i="5"/>
  <c r="P225" i="5"/>
  <c r="D225" i="5"/>
  <c r="C225" i="5"/>
  <c r="B225" i="5"/>
  <c r="A225" i="5"/>
  <c r="R224" i="5"/>
  <c r="Q224" i="5"/>
  <c r="P224" i="5"/>
  <c r="D224" i="5"/>
  <c r="C224" i="5"/>
  <c r="B224" i="5"/>
  <c r="A224" i="5"/>
  <c r="R223" i="5"/>
  <c r="Q223" i="5"/>
  <c r="P223" i="5"/>
  <c r="D223" i="5"/>
  <c r="C223" i="5"/>
  <c r="B223" i="5"/>
  <c r="A223" i="5"/>
  <c r="R222" i="5"/>
  <c r="Q222" i="5"/>
  <c r="P222" i="5"/>
  <c r="D222" i="5"/>
  <c r="C222" i="5"/>
  <c r="B222" i="5"/>
  <c r="A222" i="5"/>
  <c r="R221" i="5"/>
  <c r="Q221" i="5"/>
  <c r="P221" i="5"/>
  <c r="D221" i="5"/>
  <c r="C221" i="5"/>
  <c r="B221" i="5"/>
  <c r="A221" i="5"/>
  <c r="R220" i="5"/>
  <c r="Q220" i="5"/>
  <c r="P220" i="5"/>
  <c r="D220" i="5"/>
  <c r="C220" i="5"/>
  <c r="B220" i="5"/>
  <c r="A220" i="5"/>
  <c r="R219" i="5"/>
  <c r="Q219" i="5"/>
  <c r="P219" i="5"/>
  <c r="D219" i="5"/>
  <c r="C219" i="5"/>
  <c r="B219" i="5"/>
  <c r="A219" i="5"/>
  <c r="R218" i="5"/>
  <c r="Q218" i="5"/>
  <c r="P218" i="5"/>
  <c r="D218" i="5"/>
  <c r="C218" i="5"/>
  <c r="B218" i="5"/>
  <c r="A218" i="5"/>
  <c r="R217" i="5"/>
  <c r="Q217" i="5"/>
  <c r="P217" i="5"/>
  <c r="D217" i="5"/>
  <c r="C217" i="5"/>
  <c r="B217" i="5"/>
  <c r="A217" i="5"/>
  <c r="R216" i="5"/>
  <c r="Q216" i="5"/>
  <c r="P216" i="5"/>
  <c r="D216" i="5"/>
  <c r="C216" i="5"/>
  <c r="B216" i="5"/>
  <c r="A216" i="5"/>
  <c r="R215" i="5"/>
  <c r="Q215" i="5"/>
  <c r="P215" i="5"/>
  <c r="D215" i="5"/>
  <c r="C215" i="5"/>
  <c r="B215" i="5"/>
  <c r="A215" i="5"/>
  <c r="R214" i="5"/>
  <c r="Q214" i="5"/>
  <c r="P214" i="5"/>
  <c r="D214" i="5"/>
  <c r="C214" i="5"/>
  <c r="B214" i="5"/>
  <c r="A214" i="5"/>
  <c r="R213" i="5"/>
  <c r="Q213" i="5"/>
  <c r="P213" i="5"/>
  <c r="D213" i="5"/>
  <c r="C213" i="5"/>
  <c r="B213" i="5"/>
  <c r="A213" i="5"/>
  <c r="R212" i="5"/>
  <c r="Q212" i="5"/>
  <c r="P212" i="5"/>
  <c r="D212" i="5"/>
  <c r="C212" i="5"/>
  <c r="B212" i="5"/>
  <c r="A212" i="5"/>
  <c r="R211" i="5"/>
  <c r="Q211" i="5"/>
  <c r="P211" i="5"/>
  <c r="D211" i="5"/>
  <c r="C211" i="5"/>
  <c r="B211" i="5"/>
  <c r="A211" i="5"/>
  <c r="R210" i="5"/>
  <c r="Q210" i="5"/>
  <c r="P210" i="5"/>
  <c r="D210" i="5"/>
  <c r="C210" i="5"/>
  <c r="B210" i="5"/>
  <c r="A210" i="5"/>
  <c r="R209" i="5"/>
  <c r="Q209" i="5"/>
  <c r="P209" i="5"/>
  <c r="D209" i="5"/>
  <c r="C209" i="5"/>
  <c r="B209" i="5"/>
  <c r="A209" i="5"/>
  <c r="R208" i="5"/>
  <c r="Q208" i="5"/>
  <c r="P208" i="5"/>
  <c r="D208" i="5"/>
  <c r="C208" i="5"/>
  <c r="B208" i="5"/>
  <c r="A208" i="5"/>
  <c r="R207" i="5"/>
  <c r="Q207" i="5"/>
  <c r="P207" i="5"/>
  <c r="D207" i="5"/>
  <c r="C207" i="5"/>
  <c r="B207" i="5"/>
  <c r="A207" i="5"/>
  <c r="R206" i="5"/>
  <c r="Q206" i="5"/>
  <c r="P206" i="5"/>
  <c r="D206" i="5"/>
  <c r="C206" i="5"/>
  <c r="B206" i="5"/>
  <c r="A206" i="5"/>
  <c r="R205" i="5"/>
  <c r="Q205" i="5"/>
  <c r="P205" i="5"/>
  <c r="D205" i="5"/>
  <c r="C205" i="5"/>
  <c r="B205" i="5"/>
  <c r="A205" i="5"/>
  <c r="R204" i="5"/>
  <c r="Q204" i="5"/>
  <c r="P204" i="5"/>
  <c r="D204" i="5"/>
  <c r="C204" i="5"/>
  <c r="B204" i="5"/>
  <c r="A204" i="5"/>
  <c r="R203" i="5"/>
  <c r="Q203" i="5"/>
  <c r="P203" i="5"/>
  <c r="D203" i="5"/>
  <c r="C203" i="5"/>
  <c r="B203" i="5"/>
  <c r="A203" i="5"/>
  <c r="R202" i="5"/>
  <c r="Q202" i="5"/>
  <c r="P202" i="5"/>
  <c r="D202" i="5"/>
  <c r="C202" i="5"/>
  <c r="B202" i="5"/>
  <c r="A202" i="5"/>
  <c r="R201" i="5"/>
  <c r="Q201" i="5"/>
  <c r="P201" i="5"/>
  <c r="D201" i="5"/>
  <c r="C201" i="5"/>
  <c r="B201" i="5"/>
  <c r="A201" i="5"/>
  <c r="R200" i="5"/>
  <c r="Q200" i="5"/>
  <c r="P200" i="5"/>
  <c r="D200" i="5"/>
  <c r="C200" i="5"/>
  <c r="B200" i="5"/>
  <c r="A200" i="5"/>
  <c r="R199" i="5"/>
  <c r="Q199" i="5"/>
  <c r="P199" i="5"/>
  <c r="D199" i="5"/>
  <c r="C199" i="5"/>
  <c r="B199" i="5"/>
  <c r="A199" i="5"/>
  <c r="R198" i="5"/>
  <c r="Q198" i="5"/>
  <c r="P198" i="5"/>
  <c r="D198" i="5"/>
  <c r="C198" i="5"/>
  <c r="B198" i="5"/>
  <c r="A198" i="5"/>
  <c r="R197" i="5"/>
  <c r="Q197" i="5"/>
  <c r="P197" i="5"/>
  <c r="D197" i="5"/>
  <c r="C197" i="5"/>
  <c r="B197" i="5"/>
  <c r="A197" i="5"/>
  <c r="R196" i="5"/>
  <c r="Q196" i="5"/>
  <c r="P196" i="5"/>
  <c r="D196" i="5"/>
  <c r="C196" i="5"/>
  <c r="B196" i="5"/>
  <c r="A196" i="5"/>
  <c r="R195" i="5"/>
  <c r="Q195" i="5"/>
  <c r="P195" i="5"/>
  <c r="D195" i="5"/>
  <c r="C195" i="5"/>
  <c r="B195" i="5"/>
  <c r="A195" i="5"/>
  <c r="R194" i="5"/>
  <c r="Q194" i="5"/>
  <c r="P194" i="5"/>
  <c r="D194" i="5"/>
  <c r="C194" i="5"/>
  <c r="B194" i="5"/>
  <c r="A194" i="5"/>
  <c r="R193" i="5"/>
  <c r="Q193" i="5"/>
  <c r="P193" i="5"/>
  <c r="D193" i="5"/>
  <c r="C193" i="5"/>
  <c r="B193" i="5"/>
  <c r="A193" i="5"/>
  <c r="R192" i="5"/>
  <c r="Q192" i="5"/>
  <c r="P192" i="5"/>
  <c r="D192" i="5"/>
  <c r="C192" i="5"/>
  <c r="B192" i="5"/>
  <c r="A192" i="5"/>
  <c r="R191" i="5"/>
  <c r="Q191" i="5"/>
  <c r="P191" i="5"/>
  <c r="D191" i="5"/>
  <c r="C191" i="5"/>
  <c r="B191" i="5"/>
  <c r="A191" i="5"/>
  <c r="R190" i="5"/>
  <c r="Q190" i="5"/>
  <c r="P190" i="5"/>
  <c r="D190" i="5"/>
  <c r="C190" i="5"/>
  <c r="B190" i="5"/>
  <c r="A190" i="5"/>
  <c r="R189" i="5"/>
  <c r="Q189" i="5"/>
  <c r="P189" i="5"/>
  <c r="D189" i="5"/>
  <c r="C189" i="5"/>
  <c r="B189" i="5"/>
  <c r="A189" i="5"/>
  <c r="R188" i="5"/>
  <c r="Q188" i="5"/>
  <c r="P188" i="5"/>
  <c r="D188" i="5"/>
  <c r="C188" i="5"/>
  <c r="B188" i="5"/>
  <c r="A188" i="5"/>
  <c r="R187" i="5"/>
  <c r="Q187" i="5"/>
  <c r="P187" i="5"/>
  <c r="D187" i="5"/>
  <c r="C187" i="5"/>
  <c r="B187" i="5"/>
  <c r="A187" i="5"/>
  <c r="R186" i="5"/>
  <c r="Q186" i="5"/>
  <c r="P186" i="5"/>
  <c r="D186" i="5"/>
  <c r="C186" i="5"/>
  <c r="B186" i="5"/>
  <c r="A186" i="5"/>
  <c r="R185" i="5"/>
  <c r="Q185" i="5"/>
  <c r="P185" i="5"/>
  <c r="D185" i="5"/>
  <c r="C185" i="5"/>
  <c r="B185" i="5"/>
  <c r="A185" i="5"/>
  <c r="R184" i="5"/>
  <c r="Q184" i="5"/>
  <c r="P184" i="5"/>
  <c r="D184" i="5"/>
  <c r="C184" i="5"/>
  <c r="B184" i="5"/>
  <c r="A184" i="5"/>
  <c r="R183" i="5"/>
  <c r="Q183" i="5"/>
  <c r="P183" i="5"/>
  <c r="D183" i="5"/>
  <c r="C183" i="5"/>
  <c r="B183" i="5"/>
  <c r="A183" i="5"/>
  <c r="R182" i="5"/>
  <c r="Q182" i="5"/>
  <c r="P182" i="5"/>
  <c r="D182" i="5"/>
  <c r="C182" i="5"/>
  <c r="B182" i="5"/>
  <c r="A182" i="5"/>
  <c r="R181" i="5"/>
  <c r="Q181" i="5"/>
  <c r="P181" i="5"/>
  <c r="D181" i="5"/>
  <c r="C181" i="5"/>
  <c r="B181" i="5"/>
  <c r="A181" i="5"/>
  <c r="R180" i="5"/>
  <c r="Q180" i="5"/>
  <c r="P180" i="5"/>
  <c r="D180" i="5"/>
  <c r="C180" i="5"/>
  <c r="B180" i="5"/>
  <c r="A180" i="5"/>
  <c r="R179" i="5"/>
  <c r="Q179" i="5"/>
  <c r="P179" i="5"/>
  <c r="D179" i="5"/>
  <c r="C179" i="5"/>
  <c r="B179" i="5"/>
  <c r="A179" i="5"/>
  <c r="R178" i="5"/>
  <c r="Q178" i="5"/>
  <c r="P178" i="5"/>
  <c r="D178" i="5"/>
  <c r="C178" i="5"/>
  <c r="B178" i="5"/>
  <c r="A178" i="5"/>
  <c r="R177" i="5"/>
  <c r="Q177" i="5"/>
  <c r="P177" i="5"/>
  <c r="D177" i="5"/>
  <c r="C177" i="5"/>
  <c r="B177" i="5"/>
  <c r="A177" i="5"/>
  <c r="R176" i="5"/>
  <c r="Q176" i="5"/>
  <c r="P176" i="5"/>
  <c r="D176" i="5"/>
  <c r="C176" i="5"/>
  <c r="B176" i="5"/>
  <c r="A176" i="5"/>
  <c r="R175" i="5"/>
  <c r="Q175" i="5"/>
  <c r="P175" i="5"/>
  <c r="D175" i="5"/>
  <c r="C175" i="5"/>
  <c r="B175" i="5"/>
  <c r="A175" i="5"/>
  <c r="R174" i="5"/>
  <c r="Q174" i="5"/>
  <c r="P174" i="5"/>
  <c r="D174" i="5"/>
  <c r="C174" i="5"/>
  <c r="B174" i="5"/>
  <c r="A174" i="5"/>
  <c r="R173" i="5"/>
  <c r="Q173" i="5"/>
  <c r="P173" i="5"/>
  <c r="D173" i="5"/>
  <c r="C173" i="5"/>
  <c r="B173" i="5"/>
  <c r="A173" i="5"/>
  <c r="R172" i="5"/>
  <c r="Q172" i="5"/>
  <c r="P172" i="5"/>
  <c r="D172" i="5"/>
  <c r="C172" i="5"/>
  <c r="B172" i="5"/>
  <c r="A172" i="5"/>
  <c r="R171" i="5"/>
  <c r="Q171" i="5"/>
  <c r="P171" i="5"/>
  <c r="D171" i="5"/>
  <c r="C171" i="5"/>
  <c r="B171" i="5"/>
  <c r="A171" i="5"/>
  <c r="R170" i="5"/>
  <c r="Q170" i="5"/>
  <c r="P170" i="5"/>
  <c r="D170" i="5"/>
  <c r="C170" i="5"/>
  <c r="B170" i="5"/>
  <c r="A170" i="5"/>
  <c r="R169" i="5"/>
  <c r="Q169" i="5"/>
  <c r="P169" i="5"/>
  <c r="D169" i="5"/>
  <c r="C169" i="5"/>
  <c r="B169" i="5"/>
  <c r="A169" i="5"/>
  <c r="R168" i="5"/>
  <c r="Q168" i="5"/>
  <c r="P168" i="5"/>
  <c r="D168" i="5"/>
  <c r="C168" i="5"/>
  <c r="B168" i="5"/>
  <c r="A168" i="5"/>
  <c r="R167" i="5"/>
  <c r="Q167" i="5"/>
  <c r="P167" i="5"/>
  <c r="D167" i="5"/>
  <c r="C167" i="5"/>
  <c r="B167" i="5"/>
  <c r="A167" i="5"/>
  <c r="R166" i="5"/>
  <c r="Q166" i="5"/>
  <c r="P166" i="5"/>
  <c r="D166" i="5"/>
  <c r="C166" i="5"/>
  <c r="B166" i="5"/>
  <c r="A166" i="5"/>
  <c r="R165" i="5"/>
  <c r="Q165" i="5"/>
  <c r="P165" i="5"/>
  <c r="D165" i="5"/>
  <c r="C165" i="5"/>
  <c r="B165" i="5"/>
  <c r="A165" i="5"/>
  <c r="R164" i="5"/>
  <c r="Q164" i="5"/>
  <c r="P164" i="5"/>
  <c r="D164" i="5"/>
  <c r="C164" i="5"/>
  <c r="B164" i="5"/>
  <c r="A164" i="5"/>
  <c r="R163" i="5"/>
  <c r="Q163" i="5"/>
  <c r="P163" i="5"/>
  <c r="D163" i="5"/>
  <c r="C163" i="5"/>
  <c r="B163" i="5"/>
  <c r="A163" i="5"/>
  <c r="R162" i="5"/>
  <c r="Q162" i="5"/>
  <c r="P162" i="5"/>
  <c r="D162" i="5"/>
  <c r="C162" i="5"/>
  <c r="B162" i="5"/>
  <c r="A162" i="5"/>
  <c r="R161" i="5"/>
  <c r="Q161" i="5"/>
  <c r="P161" i="5"/>
  <c r="D161" i="5"/>
  <c r="C161" i="5"/>
  <c r="B161" i="5"/>
  <c r="A161" i="5"/>
  <c r="R160" i="5"/>
  <c r="Q160" i="5"/>
  <c r="P160" i="5"/>
  <c r="D160" i="5"/>
  <c r="C160" i="5"/>
  <c r="B160" i="5"/>
  <c r="A160" i="5"/>
  <c r="R159" i="5"/>
  <c r="Q159" i="5"/>
  <c r="P159" i="5"/>
  <c r="D159" i="5"/>
  <c r="C159" i="5"/>
  <c r="B159" i="5"/>
  <c r="A159" i="5"/>
  <c r="R158" i="5"/>
  <c r="Q158" i="5"/>
  <c r="P158" i="5"/>
  <c r="D158" i="5"/>
  <c r="C158" i="5"/>
  <c r="B158" i="5"/>
  <c r="A158" i="5"/>
  <c r="R157" i="5"/>
  <c r="Q157" i="5"/>
  <c r="P157" i="5"/>
  <c r="D157" i="5"/>
  <c r="C157" i="5"/>
  <c r="B157" i="5"/>
  <c r="A157" i="5"/>
  <c r="R156" i="5"/>
  <c r="Q156" i="5"/>
  <c r="P156" i="5"/>
  <c r="D156" i="5"/>
  <c r="C156" i="5"/>
  <c r="B156" i="5"/>
  <c r="A156" i="5"/>
  <c r="R155" i="5"/>
  <c r="Q155" i="5"/>
  <c r="P155" i="5"/>
  <c r="D155" i="5"/>
  <c r="C155" i="5"/>
  <c r="B155" i="5"/>
  <c r="A155" i="5"/>
  <c r="R154" i="5"/>
  <c r="Q154" i="5"/>
  <c r="P154" i="5"/>
  <c r="D154" i="5"/>
  <c r="C154" i="5"/>
  <c r="B154" i="5"/>
  <c r="A154" i="5"/>
  <c r="R153" i="5"/>
  <c r="Q153" i="5"/>
  <c r="P153" i="5"/>
  <c r="D153" i="5"/>
  <c r="C153" i="5"/>
  <c r="B153" i="5"/>
  <c r="A153" i="5"/>
  <c r="R152" i="5"/>
  <c r="Q152" i="5"/>
  <c r="P152" i="5"/>
  <c r="D152" i="5"/>
  <c r="C152" i="5"/>
  <c r="B152" i="5"/>
  <c r="A152" i="5"/>
  <c r="R151" i="5"/>
  <c r="Q151" i="5"/>
  <c r="P151" i="5"/>
  <c r="D151" i="5"/>
  <c r="C151" i="5"/>
  <c r="B151" i="5"/>
  <c r="A151" i="5"/>
  <c r="R150" i="5"/>
  <c r="Q150" i="5"/>
  <c r="P150" i="5"/>
  <c r="D150" i="5"/>
  <c r="C150" i="5"/>
  <c r="B150" i="5"/>
  <c r="A150" i="5"/>
  <c r="R149" i="5"/>
  <c r="Q149" i="5"/>
  <c r="P149" i="5"/>
  <c r="D149" i="5"/>
  <c r="C149" i="5"/>
  <c r="B149" i="5"/>
  <c r="A149" i="5"/>
  <c r="R148" i="5"/>
  <c r="Q148" i="5"/>
  <c r="P148" i="5"/>
  <c r="D148" i="5"/>
  <c r="C148" i="5"/>
  <c r="B148" i="5"/>
  <c r="A148" i="5"/>
  <c r="R147" i="5"/>
  <c r="Q147" i="5"/>
  <c r="P147" i="5"/>
  <c r="D147" i="5"/>
  <c r="C147" i="5"/>
  <c r="B147" i="5"/>
  <c r="A147" i="5"/>
  <c r="R146" i="5"/>
  <c r="Q146" i="5"/>
  <c r="P146" i="5"/>
  <c r="D146" i="5"/>
  <c r="C146" i="5"/>
  <c r="B146" i="5"/>
  <c r="A146" i="5"/>
  <c r="R145" i="5"/>
  <c r="Q145" i="5"/>
  <c r="P145" i="5"/>
  <c r="D145" i="5"/>
  <c r="C145" i="5"/>
  <c r="B145" i="5"/>
  <c r="A145" i="5"/>
  <c r="R144" i="5"/>
  <c r="Q144" i="5"/>
  <c r="P144" i="5"/>
  <c r="D144" i="5"/>
  <c r="C144" i="5"/>
  <c r="B144" i="5"/>
  <c r="A144" i="5"/>
  <c r="R143" i="5"/>
  <c r="Q143" i="5"/>
  <c r="P143" i="5"/>
  <c r="D143" i="5"/>
  <c r="C143" i="5"/>
  <c r="B143" i="5"/>
  <c r="A143" i="5"/>
  <c r="R142" i="5"/>
  <c r="Q142" i="5"/>
  <c r="P142" i="5"/>
  <c r="D142" i="5"/>
  <c r="C142" i="5"/>
  <c r="B142" i="5"/>
  <c r="A142" i="5"/>
  <c r="R141" i="5"/>
  <c r="Q141" i="5"/>
  <c r="P141" i="5"/>
  <c r="D141" i="5"/>
  <c r="C141" i="5"/>
  <c r="B141" i="5"/>
  <c r="A141" i="5"/>
  <c r="R140" i="5"/>
  <c r="Q140" i="5"/>
  <c r="P140" i="5"/>
  <c r="D140" i="5"/>
  <c r="C140" i="5"/>
  <c r="B140" i="5"/>
  <c r="A140" i="5"/>
  <c r="R139" i="5"/>
  <c r="Q139" i="5"/>
  <c r="P139" i="5"/>
  <c r="D139" i="5"/>
  <c r="C139" i="5"/>
  <c r="B139" i="5"/>
  <c r="A139" i="5"/>
  <c r="R138" i="5"/>
  <c r="Q138" i="5"/>
  <c r="P138" i="5"/>
  <c r="D138" i="5"/>
  <c r="C138" i="5"/>
  <c r="B138" i="5"/>
  <c r="A138" i="5"/>
  <c r="R137" i="5"/>
  <c r="Q137" i="5"/>
  <c r="P137" i="5"/>
  <c r="D137" i="5"/>
  <c r="C137" i="5"/>
  <c r="B137" i="5"/>
  <c r="A137" i="5"/>
  <c r="R136" i="5"/>
  <c r="Q136" i="5"/>
  <c r="P136" i="5"/>
  <c r="D136" i="5"/>
  <c r="C136" i="5"/>
  <c r="B136" i="5"/>
  <c r="A136" i="5"/>
  <c r="R135" i="5"/>
  <c r="Q135" i="5"/>
  <c r="P135" i="5"/>
  <c r="D135" i="5"/>
  <c r="C135" i="5"/>
  <c r="B135" i="5"/>
  <c r="A135" i="5"/>
  <c r="R134" i="5"/>
  <c r="Q134" i="5"/>
  <c r="P134" i="5"/>
  <c r="D134" i="5"/>
  <c r="C134" i="5"/>
  <c r="B134" i="5"/>
  <c r="A134" i="5"/>
  <c r="R133" i="5"/>
  <c r="Q133" i="5"/>
  <c r="P133" i="5"/>
  <c r="D133" i="5"/>
  <c r="C133" i="5"/>
  <c r="B133" i="5"/>
  <c r="A133" i="5"/>
  <c r="R132" i="5"/>
  <c r="Q132" i="5"/>
  <c r="P132" i="5"/>
  <c r="D132" i="5"/>
  <c r="C132" i="5"/>
  <c r="B132" i="5"/>
  <c r="A132" i="5"/>
  <c r="R131" i="5"/>
  <c r="Q131" i="5"/>
  <c r="P131" i="5"/>
  <c r="D131" i="5"/>
  <c r="C131" i="5"/>
  <c r="B131" i="5"/>
  <c r="A131" i="5"/>
  <c r="R130" i="5"/>
  <c r="Q130" i="5"/>
  <c r="P130" i="5"/>
  <c r="D130" i="5"/>
  <c r="C130" i="5"/>
  <c r="B130" i="5"/>
  <c r="A130" i="5"/>
  <c r="R129" i="5"/>
  <c r="Q129" i="5"/>
  <c r="P129" i="5"/>
  <c r="I129" i="5"/>
  <c r="I130" i="5" s="1"/>
  <c r="I131" i="5" s="1"/>
  <c r="I132" i="5" s="1"/>
  <c r="I133" i="5" s="1"/>
  <c r="I134" i="5" s="1"/>
  <c r="I135" i="5" s="1"/>
  <c r="I136" i="5" s="1"/>
  <c r="I137" i="5" s="1"/>
  <c r="I138" i="5" s="1"/>
  <c r="I139" i="5" s="1"/>
  <c r="I140" i="5" s="1"/>
  <c r="I141" i="5" s="1"/>
  <c r="I142" i="5" s="1"/>
  <c r="I143" i="5" s="1"/>
  <c r="I144" i="5" s="1"/>
  <c r="I145" i="5" s="1"/>
  <c r="I146" i="5" s="1"/>
  <c r="I147" i="5" s="1"/>
  <c r="I148" i="5" s="1"/>
  <c r="I149" i="5" s="1"/>
  <c r="I150" i="5" s="1"/>
  <c r="I151" i="5" s="1"/>
  <c r="D129" i="5"/>
  <c r="C129" i="5"/>
  <c r="B129" i="5"/>
  <c r="A129" i="5"/>
  <c r="R128" i="5"/>
  <c r="Q128" i="5"/>
  <c r="P128" i="5"/>
  <c r="D128" i="5"/>
  <c r="C128" i="5"/>
  <c r="B128" i="5"/>
  <c r="A128" i="5"/>
  <c r="R127" i="5"/>
  <c r="Q127" i="5"/>
  <c r="P127" i="5"/>
  <c r="D127" i="5"/>
  <c r="C127" i="5"/>
  <c r="B127" i="5"/>
  <c r="A127" i="5"/>
  <c r="R126" i="5"/>
  <c r="Q126" i="5"/>
  <c r="P126" i="5"/>
  <c r="D126" i="5"/>
  <c r="C126" i="5"/>
  <c r="B126" i="5"/>
  <c r="A126" i="5"/>
  <c r="R125" i="5"/>
  <c r="Q125" i="5"/>
  <c r="P125" i="5"/>
  <c r="D125" i="5"/>
  <c r="C125" i="5"/>
  <c r="B125" i="5"/>
  <c r="A125" i="5"/>
  <c r="R124" i="5"/>
  <c r="Q124" i="5"/>
  <c r="P124" i="5"/>
  <c r="D124" i="5"/>
  <c r="C124" i="5"/>
  <c r="B124" i="5"/>
  <c r="A124" i="5"/>
  <c r="R123" i="5"/>
  <c r="Q123" i="5"/>
  <c r="P123" i="5"/>
  <c r="D123" i="5"/>
  <c r="C123" i="5"/>
  <c r="B123" i="5"/>
  <c r="A123" i="5"/>
  <c r="R122" i="5"/>
  <c r="Q122" i="5"/>
  <c r="P122" i="5"/>
  <c r="D122" i="5"/>
  <c r="C122" i="5"/>
  <c r="B122" i="5"/>
  <c r="A122" i="5"/>
  <c r="R121" i="5"/>
  <c r="Q121" i="5"/>
  <c r="P121" i="5"/>
  <c r="D121" i="5"/>
  <c r="C121" i="5"/>
  <c r="B121" i="5"/>
  <c r="A121" i="5"/>
  <c r="R120" i="5"/>
  <c r="Q120" i="5"/>
  <c r="P120" i="5"/>
  <c r="D120" i="5"/>
  <c r="C120" i="5"/>
  <c r="B120" i="5"/>
  <c r="A120" i="5"/>
  <c r="R119" i="5"/>
  <c r="Q119" i="5"/>
  <c r="P119" i="5"/>
  <c r="D119" i="5"/>
  <c r="C119" i="5"/>
  <c r="B119" i="5"/>
  <c r="A119" i="5"/>
  <c r="R118" i="5"/>
  <c r="Q118" i="5"/>
  <c r="P118" i="5"/>
  <c r="D118" i="5"/>
  <c r="C118" i="5"/>
  <c r="B118" i="5"/>
  <c r="A118" i="5"/>
  <c r="R117" i="5"/>
  <c r="Q117" i="5"/>
  <c r="P117" i="5"/>
  <c r="D117" i="5"/>
  <c r="C117" i="5"/>
  <c r="B117" i="5"/>
  <c r="A117" i="5"/>
  <c r="R116" i="5"/>
  <c r="Q116" i="5"/>
  <c r="P116" i="5"/>
  <c r="D116" i="5"/>
  <c r="C116" i="5"/>
  <c r="B116" i="5"/>
  <c r="A116" i="5"/>
  <c r="R115" i="5"/>
  <c r="Q115" i="5"/>
  <c r="P115" i="5"/>
  <c r="D115" i="5"/>
  <c r="C115" i="5"/>
  <c r="B115" i="5"/>
  <c r="A115" i="5"/>
  <c r="R114" i="5"/>
  <c r="Q114" i="5"/>
  <c r="P114" i="5"/>
  <c r="D114" i="5"/>
  <c r="C114" i="5"/>
  <c r="B114" i="5"/>
  <c r="A114" i="5"/>
  <c r="R113" i="5"/>
  <c r="Q113" i="5"/>
  <c r="P113" i="5"/>
  <c r="D113" i="5"/>
  <c r="C113" i="5"/>
  <c r="B113" i="5"/>
  <c r="A113" i="5"/>
  <c r="R112" i="5"/>
  <c r="Q112" i="5"/>
  <c r="P112" i="5"/>
  <c r="D112" i="5"/>
  <c r="C112" i="5"/>
  <c r="B112" i="5"/>
  <c r="A112" i="5"/>
  <c r="R111" i="5"/>
  <c r="Q111" i="5"/>
  <c r="P111" i="5"/>
  <c r="D111" i="5"/>
  <c r="C111" i="5"/>
  <c r="B111" i="5"/>
  <c r="A111" i="5"/>
  <c r="R110" i="5"/>
  <c r="Q110" i="5"/>
  <c r="P110" i="5"/>
  <c r="D110" i="5"/>
  <c r="C110" i="5"/>
  <c r="B110" i="5"/>
  <c r="A110" i="5"/>
  <c r="R109" i="5"/>
  <c r="Q109" i="5"/>
  <c r="P109" i="5"/>
  <c r="D109" i="5"/>
  <c r="C109" i="5"/>
  <c r="B109" i="5"/>
  <c r="A109" i="5"/>
  <c r="R108" i="5"/>
  <c r="Q108" i="5"/>
  <c r="P108" i="5"/>
  <c r="D108" i="5"/>
  <c r="C108" i="5"/>
  <c r="B108" i="5"/>
  <c r="A108" i="5"/>
  <c r="R107" i="5"/>
  <c r="Q107" i="5"/>
  <c r="P107" i="5"/>
  <c r="D107" i="5"/>
  <c r="C107" i="5"/>
  <c r="B107" i="5"/>
  <c r="A107" i="5"/>
  <c r="R106" i="5"/>
  <c r="Q106" i="5"/>
  <c r="P106" i="5"/>
  <c r="D106" i="5"/>
  <c r="C106" i="5"/>
  <c r="B106" i="5"/>
  <c r="A106" i="5"/>
  <c r="R105" i="5"/>
  <c r="Q105" i="5"/>
  <c r="P105" i="5"/>
  <c r="D105" i="5"/>
  <c r="C105" i="5"/>
  <c r="B105" i="5"/>
  <c r="A105" i="5"/>
  <c r="R104" i="5"/>
  <c r="Q104" i="5"/>
  <c r="P104" i="5"/>
  <c r="D104" i="5"/>
  <c r="C104" i="5"/>
  <c r="B104" i="5"/>
  <c r="A104" i="5"/>
  <c r="R103" i="5"/>
  <c r="Q103" i="5"/>
  <c r="P103" i="5"/>
  <c r="D103" i="5"/>
  <c r="C103" i="5"/>
  <c r="B103" i="5"/>
  <c r="A103" i="5"/>
  <c r="R102" i="5"/>
  <c r="Q102" i="5"/>
  <c r="P102" i="5"/>
  <c r="D102" i="5"/>
  <c r="C102" i="5"/>
  <c r="B102" i="5"/>
  <c r="A102" i="5"/>
  <c r="R101" i="5"/>
  <c r="Q101" i="5"/>
  <c r="P101" i="5"/>
  <c r="D101" i="5"/>
  <c r="C101" i="5"/>
  <c r="B101" i="5"/>
  <c r="A101" i="5"/>
  <c r="D521" i="9"/>
  <c r="D520" i="9"/>
  <c r="D519" i="9"/>
  <c r="D518" i="9"/>
  <c r="D517" i="9"/>
  <c r="D516" i="9"/>
  <c r="D515" i="9"/>
  <c r="D514" i="9"/>
  <c r="D513" i="9"/>
  <c r="D512" i="9"/>
  <c r="D511" i="9"/>
  <c r="D510" i="9"/>
  <c r="D509" i="9"/>
  <c r="D508" i="9"/>
  <c r="D507" i="9"/>
  <c r="D506" i="9"/>
  <c r="D505" i="9"/>
  <c r="D504" i="9"/>
  <c r="D503" i="9"/>
  <c r="D502" i="9"/>
  <c r="D501" i="9"/>
  <c r="D500" i="9"/>
  <c r="D499" i="9"/>
  <c r="D498" i="9"/>
  <c r="D497" i="9"/>
  <c r="D496" i="9"/>
  <c r="D495" i="9"/>
  <c r="D494" i="9"/>
  <c r="D493" i="9"/>
  <c r="D492" i="9"/>
  <c r="D491" i="9"/>
  <c r="D490" i="9"/>
  <c r="D489" i="9"/>
  <c r="D488" i="9"/>
  <c r="D487" i="9"/>
  <c r="D486" i="9"/>
  <c r="D485" i="9"/>
  <c r="D484" i="9"/>
  <c r="D483" i="9"/>
  <c r="D482" i="9"/>
  <c r="D481" i="9"/>
  <c r="D480" i="9"/>
  <c r="D479" i="9"/>
  <c r="D478" i="9"/>
  <c r="D477" i="9"/>
  <c r="D476" i="9"/>
  <c r="D475" i="9"/>
  <c r="D474" i="9"/>
  <c r="D473" i="9"/>
  <c r="D472" i="9"/>
  <c r="D471" i="9"/>
  <c r="D470" i="9"/>
  <c r="D469" i="9"/>
  <c r="D468" i="9"/>
  <c r="D467" i="9"/>
  <c r="D466" i="9"/>
  <c r="D465" i="9"/>
  <c r="D464" i="9"/>
  <c r="D463" i="9"/>
  <c r="D462" i="9"/>
  <c r="D461" i="9"/>
  <c r="D460" i="9"/>
  <c r="D459" i="9"/>
  <c r="D458" i="9"/>
  <c r="D457" i="9"/>
  <c r="D456" i="9"/>
  <c r="D455" i="9"/>
  <c r="D454" i="9"/>
  <c r="D453" i="9"/>
  <c r="D452" i="9"/>
  <c r="D451" i="9"/>
  <c r="D450" i="9"/>
  <c r="D449" i="9"/>
  <c r="D448" i="9"/>
  <c r="D447" i="9"/>
  <c r="D446" i="9"/>
  <c r="D445" i="9"/>
  <c r="D444" i="9"/>
  <c r="D443" i="9"/>
  <c r="D442" i="9"/>
  <c r="D441" i="9"/>
  <c r="D440" i="9"/>
  <c r="D439" i="9"/>
  <c r="D438" i="9"/>
  <c r="D437" i="9"/>
  <c r="D436" i="9"/>
  <c r="D435" i="9"/>
  <c r="D434" i="9"/>
  <c r="D433" i="9"/>
  <c r="D432" i="9"/>
  <c r="D431" i="9"/>
  <c r="D430" i="9"/>
  <c r="D429" i="9"/>
  <c r="D428" i="9"/>
  <c r="D427" i="9"/>
  <c r="D426" i="9"/>
  <c r="D425" i="9"/>
  <c r="D424" i="9"/>
  <c r="D423" i="9"/>
  <c r="D422" i="9"/>
  <c r="D421" i="9"/>
  <c r="D420" i="9"/>
  <c r="D419" i="9"/>
  <c r="D418" i="9"/>
  <c r="D417" i="9"/>
  <c r="D416" i="9"/>
  <c r="D415" i="9"/>
  <c r="D414" i="9"/>
  <c r="D413" i="9"/>
  <c r="D412" i="9"/>
  <c r="D411" i="9"/>
  <c r="D410" i="9"/>
  <c r="D409" i="9"/>
  <c r="D408" i="9"/>
  <c r="D407" i="9"/>
  <c r="D406" i="9"/>
  <c r="D405" i="9"/>
  <c r="D404" i="9"/>
  <c r="D403" i="9"/>
  <c r="D402" i="9"/>
  <c r="D401" i="9"/>
  <c r="D400" i="9"/>
  <c r="D399" i="9"/>
  <c r="D398" i="9"/>
  <c r="D397" i="9"/>
  <c r="D396" i="9"/>
  <c r="D395" i="9"/>
  <c r="D394" i="9"/>
  <c r="D393" i="9"/>
  <c r="D392" i="9"/>
  <c r="D391" i="9"/>
  <c r="D390" i="9"/>
  <c r="D389" i="9"/>
  <c r="D388" i="9"/>
  <c r="D387" i="9"/>
  <c r="D386" i="9"/>
  <c r="D385" i="9"/>
  <c r="D384" i="9"/>
  <c r="D383" i="9"/>
  <c r="D382" i="9"/>
  <c r="D381" i="9"/>
  <c r="D380" i="9"/>
  <c r="D379" i="9"/>
  <c r="D378" i="9"/>
  <c r="D377" i="9"/>
  <c r="D376" i="9"/>
  <c r="D375" i="9"/>
  <c r="D374" i="9"/>
  <c r="D373" i="9"/>
  <c r="D372" i="9"/>
  <c r="D371" i="9"/>
  <c r="D370" i="9"/>
  <c r="D369" i="9"/>
  <c r="D368" i="9"/>
  <c r="D367" i="9"/>
  <c r="D366" i="9"/>
  <c r="D365" i="9"/>
  <c r="D364" i="9"/>
  <c r="D363" i="9"/>
  <c r="D362" i="9"/>
  <c r="D361" i="9"/>
  <c r="D360" i="9"/>
  <c r="D359" i="9"/>
  <c r="D358" i="9"/>
  <c r="D357" i="9"/>
  <c r="D356" i="9"/>
  <c r="D355" i="9"/>
  <c r="D354" i="9"/>
  <c r="D353" i="9"/>
  <c r="D352" i="9"/>
  <c r="D351" i="9"/>
  <c r="D350" i="9"/>
  <c r="D349" i="9"/>
  <c r="D348" i="9"/>
  <c r="D347" i="9"/>
  <c r="D346" i="9"/>
  <c r="D345" i="9"/>
  <c r="D344" i="9"/>
  <c r="D343" i="9"/>
  <c r="D342" i="9"/>
  <c r="D341" i="9"/>
  <c r="D340" i="9"/>
  <c r="D339" i="9"/>
  <c r="D338" i="9"/>
  <c r="D337" i="9"/>
  <c r="D336" i="9"/>
  <c r="D335" i="9"/>
  <c r="D334" i="9"/>
  <c r="D333" i="9"/>
  <c r="D332" i="9"/>
  <c r="D331" i="9"/>
  <c r="D330" i="9"/>
  <c r="D329" i="9"/>
  <c r="D328" i="9"/>
  <c r="D327" i="9"/>
  <c r="D326" i="9"/>
  <c r="D325" i="9"/>
  <c r="D324" i="9"/>
  <c r="D323" i="9"/>
  <c r="D322" i="9"/>
  <c r="D321" i="9"/>
  <c r="D320" i="9"/>
  <c r="D319" i="9"/>
  <c r="D318" i="9"/>
  <c r="D317" i="9"/>
  <c r="D316" i="9"/>
  <c r="D315" i="9"/>
  <c r="D314" i="9"/>
  <c r="D313" i="9"/>
  <c r="D312" i="9"/>
  <c r="D311" i="9"/>
  <c r="D310" i="9"/>
  <c r="D309" i="9"/>
  <c r="D308" i="9"/>
  <c r="D307" i="9"/>
  <c r="D306" i="9"/>
  <c r="D305" i="9"/>
  <c r="D304" i="9"/>
  <c r="D303" i="9"/>
  <c r="D302" i="9"/>
  <c r="D301" i="9"/>
  <c r="D300" i="9"/>
  <c r="D299" i="9"/>
  <c r="D298" i="9"/>
  <c r="D297" i="9"/>
  <c r="D296" i="9"/>
  <c r="D295" i="9"/>
  <c r="D294" i="9"/>
  <c r="D293" i="9"/>
  <c r="D292"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220" i="9"/>
  <c r="D219" i="9"/>
  <c r="D218" i="9"/>
  <c r="D217" i="9"/>
  <c r="D216" i="9"/>
  <c r="D215" i="9"/>
  <c r="D214" i="9"/>
  <c r="D213" i="9"/>
  <c r="D212" i="9"/>
  <c r="D211" i="9"/>
  <c r="D210" i="9"/>
  <c r="D209" i="9"/>
  <c r="D208" i="9"/>
  <c r="D207" i="9"/>
  <c r="D206"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L14" i="15"/>
  <c r="K14" i="15"/>
  <c r="H10" i="15"/>
  <c r="D8" i="15"/>
  <c r="C8" i="15"/>
  <c r="E42" i="7" l="1"/>
  <c r="D42" i="7"/>
  <c r="E81" i="7"/>
  <c r="D81" i="7"/>
  <c r="E82" i="7"/>
  <c r="D82" i="7"/>
  <c r="E83" i="7"/>
  <c r="D83" i="7"/>
  <c r="E88" i="7"/>
  <c r="D88" i="7"/>
  <c r="E89" i="7"/>
  <c r="D89" i="7"/>
  <c r="E90" i="7"/>
  <c r="D90" i="7"/>
  <c r="E91" i="7"/>
  <c r="D91" i="7"/>
  <c r="E92" i="7"/>
  <c r="D92" i="7"/>
  <c r="E93" i="7"/>
  <c r="D93" i="7"/>
  <c r="E94" i="7"/>
  <c r="D94" i="7"/>
  <c r="E95" i="7"/>
  <c r="D95" i="7"/>
  <c r="E96" i="7"/>
  <c r="D96" i="7"/>
  <c r="E97" i="7"/>
  <c r="D97" i="7"/>
  <c r="E98" i="7"/>
  <c r="D98" i="7"/>
  <c r="E99" i="7"/>
  <c r="D99" i="7"/>
  <c r="E100" i="7"/>
  <c r="D100" i="7"/>
  <c r="E101" i="7"/>
  <c r="D101" i="7"/>
  <c r="E102" i="7"/>
  <c r="D102" i="7"/>
  <c r="E103" i="7"/>
  <c r="D103" i="7"/>
  <c r="E104" i="7"/>
  <c r="D104" i="7"/>
  <c r="E105" i="7"/>
  <c r="D105" i="7"/>
  <c r="E106" i="7"/>
  <c r="D106" i="7"/>
  <c r="E107" i="7"/>
  <c r="D107" i="7"/>
  <c r="E108" i="7"/>
  <c r="D108" i="7"/>
  <c r="E109" i="7"/>
  <c r="D109" i="7"/>
  <c r="E110" i="7"/>
  <c r="D110" i="7"/>
  <c r="E111" i="7"/>
  <c r="D111" i="7"/>
  <c r="E112" i="7"/>
  <c r="D112" i="7"/>
  <c r="E113" i="7"/>
  <c r="D113" i="7"/>
  <c r="E114" i="7"/>
  <c r="D114" i="7"/>
  <c r="E115" i="7"/>
  <c r="D115" i="7"/>
  <c r="E116" i="7"/>
  <c r="D116" i="7"/>
  <c r="E117" i="7"/>
  <c r="D117" i="7"/>
  <c r="E118" i="7"/>
  <c r="D118" i="7"/>
  <c r="E119" i="7"/>
  <c r="D119" i="7"/>
  <c r="E120" i="7"/>
  <c r="D120" i="7"/>
  <c r="E121" i="7"/>
  <c r="D121" i="7"/>
  <c r="E122" i="7"/>
  <c r="D122" i="7"/>
  <c r="E123" i="7"/>
  <c r="D123" i="7"/>
  <c r="E124" i="7"/>
  <c r="D124" i="7"/>
  <c r="E125" i="7"/>
  <c r="D125" i="7"/>
  <c r="E126" i="7"/>
  <c r="D126" i="7"/>
  <c r="E127" i="7"/>
  <c r="D127" i="7"/>
  <c r="E128" i="7"/>
  <c r="D128" i="7"/>
  <c r="E129" i="7"/>
  <c r="D129" i="7"/>
  <c r="E130" i="7"/>
  <c r="D130" i="7"/>
  <c r="E131" i="7"/>
  <c r="D131" i="7"/>
  <c r="E132" i="7"/>
  <c r="D132" i="7"/>
  <c r="E133" i="7"/>
  <c r="D133" i="7"/>
  <c r="E134" i="7"/>
  <c r="D134" i="7"/>
  <c r="E135" i="7"/>
  <c r="D135" i="7"/>
  <c r="E136" i="7"/>
  <c r="D136" i="7"/>
  <c r="E137" i="7"/>
  <c r="D137" i="7"/>
  <c r="E138" i="7"/>
  <c r="D138" i="7"/>
  <c r="E139" i="7"/>
  <c r="D139" i="7"/>
  <c r="E140" i="7"/>
  <c r="D140" i="7"/>
  <c r="E141" i="7"/>
  <c r="D141" i="7"/>
  <c r="E142" i="7"/>
  <c r="D142" i="7"/>
  <c r="E143" i="7"/>
  <c r="D143" i="7"/>
  <c r="E144" i="7"/>
  <c r="D144" i="7"/>
  <c r="E145" i="7"/>
  <c r="D145" i="7"/>
  <c r="E146" i="7"/>
  <c r="D146" i="7"/>
  <c r="E147" i="7"/>
  <c r="D147" i="7"/>
  <c r="E148" i="7"/>
  <c r="D148" i="7"/>
  <c r="E149" i="7"/>
  <c r="D149" i="7"/>
  <c r="E150" i="7"/>
  <c r="D150" i="7"/>
  <c r="E151" i="7"/>
  <c r="D151" i="7"/>
  <c r="E152" i="7"/>
  <c r="D152" i="7"/>
  <c r="E153" i="7"/>
  <c r="D153" i="7"/>
  <c r="E154" i="7"/>
  <c r="D154" i="7"/>
  <c r="E155" i="7"/>
  <c r="D155" i="7"/>
  <c r="E156" i="7"/>
  <c r="D156" i="7"/>
  <c r="E157" i="7"/>
  <c r="D157" i="7"/>
  <c r="E158" i="7"/>
  <c r="D158" i="7"/>
  <c r="E159" i="7"/>
  <c r="D159" i="7"/>
  <c r="E160" i="7"/>
  <c r="D160" i="7"/>
  <c r="E161" i="7"/>
  <c r="D161" i="7"/>
  <c r="E162" i="7"/>
  <c r="D162" i="7"/>
  <c r="E163" i="7"/>
  <c r="D163" i="7"/>
  <c r="E164" i="7"/>
  <c r="D164" i="7"/>
  <c r="E165" i="7"/>
  <c r="D165" i="7"/>
  <c r="E166" i="7"/>
  <c r="D166" i="7"/>
  <c r="E167" i="7"/>
  <c r="D167" i="7"/>
  <c r="E168" i="7"/>
  <c r="D168" i="7"/>
  <c r="E169" i="7"/>
  <c r="D169" i="7"/>
  <c r="E170" i="7"/>
  <c r="D170" i="7"/>
  <c r="E171" i="7"/>
  <c r="D171" i="7"/>
  <c r="E172" i="7"/>
  <c r="D172" i="7"/>
  <c r="E173" i="7"/>
  <c r="D173" i="7"/>
  <c r="E174" i="7"/>
  <c r="D174" i="7"/>
  <c r="E175" i="7"/>
  <c r="D175" i="7"/>
  <c r="E176" i="7"/>
  <c r="D176" i="7"/>
  <c r="E177" i="7"/>
  <c r="D177" i="7"/>
  <c r="E178" i="7"/>
  <c r="D178" i="7"/>
  <c r="E179" i="7"/>
  <c r="D179" i="7"/>
  <c r="E180" i="7"/>
  <c r="D180" i="7"/>
  <c r="E181" i="7"/>
  <c r="D181" i="7"/>
  <c r="E182" i="7"/>
  <c r="D182" i="7"/>
  <c r="E183" i="7"/>
  <c r="D183" i="7"/>
  <c r="E184" i="7"/>
  <c r="D184" i="7"/>
  <c r="E185" i="7"/>
  <c r="D185" i="7"/>
  <c r="E186" i="7"/>
  <c r="D186" i="7"/>
  <c r="E187" i="7"/>
  <c r="D187" i="7"/>
  <c r="E188" i="7"/>
  <c r="D188" i="7"/>
  <c r="E189" i="7"/>
  <c r="D189" i="7"/>
  <c r="E190" i="7"/>
  <c r="D190" i="7"/>
  <c r="E191" i="7"/>
  <c r="D191" i="7"/>
  <c r="E192" i="7"/>
  <c r="D192" i="7"/>
  <c r="E193" i="7"/>
  <c r="D193" i="7"/>
  <c r="E194" i="7"/>
  <c r="D194" i="7"/>
  <c r="E195" i="7"/>
  <c r="D195" i="7"/>
  <c r="E196" i="7"/>
  <c r="D196" i="7"/>
  <c r="E197" i="7"/>
  <c r="D197" i="7"/>
  <c r="E198" i="7"/>
  <c r="D198" i="7"/>
  <c r="E199" i="7"/>
  <c r="D199" i="7"/>
  <c r="E200" i="7"/>
  <c r="D200" i="7"/>
  <c r="E201" i="7"/>
  <c r="D201" i="7"/>
  <c r="E202" i="7"/>
  <c r="D202" i="7"/>
  <c r="E203" i="7"/>
  <c r="D203" i="7"/>
  <c r="E204" i="7"/>
  <c r="D204" i="7"/>
  <c r="E205" i="7"/>
  <c r="D205" i="7"/>
  <c r="E206" i="7"/>
  <c r="D206" i="7"/>
  <c r="E207" i="7"/>
  <c r="D207" i="7"/>
  <c r="E208" i="7"/>
  <c r="D208" i="7"/>
  <c r="E209" i="7"/>
  <c r="D209" i="7"/>
  <c r="E210" i="7"/>
  <c r="D210" i="7"/>
  <c r="E211" i="7"/>
  <c r="D211" i="7"/>
  <c r="E212" i="7"/>
  <c r="D212" i="7"/>
  <c r="E213" i="7"/>
  <c r="D213" i="7"/>
  <c r="E214" i="7"/>
  <c r="D214" i="7"/>
  <c r="E215" i="7"/>
  <c r="D215" i="7"/>
  <c r="E216" i="7"/>
  <c r="D216" i="7"/>
  <c r="E217" i="7"/>
  <c r="D217" i="7"/>
  <c r="E218" i="7"/>
  <c r="D218" i="7"/>
  <c r="E219" i="7"/>
  <c r="D219" i="7"/>
  <c r="E220" i="7"/>
  <c r="D220" i="7"/>
  <c r="E221" i="7"/>
  <c r="D221" i="7"/>
  <c r="E222" i="7"/>
  <c r="D222" i="7"/>
  <c r="E223" i="7"/>
  <c r="D223" i="7"/>
  <c r="E224" i="7"/>
  <c r="D224" i="7"/>
  <c r="E225" i="7"/>
  <c r="D225" i="7"/>
  <c r="E226" i="7"/>
  <c r="D226" i="7"/>
  <c r="E227" i="7"/>
  <c r="D227" i="7"/>
  <c r="E228" i="7"/>
  <c r="D228" i="7"/>
  <c r="E229" i="7"/>
  <c r="D229" i="7"/>
  <c r="E230" i="7"/>
  <c r="D230" i="7"/>
  <c r="E231" i="7"/>
  <c r="D231" i="7"/>
  <c r="E232" i="7"/>
  <c r="D232" i="7"/>
  <c r="E233" i="7"/>
  <c r="D233" i="7"/>
  <c r="E234" i="7"/>
  <c r="D234" i="7"/>
  <c r="E235" i="7"/>
  <c r="D235" i="7"/>
  <c r="E236" i="7"/>
  <c r="D236" i="7"/>
  <c r="E237" i="7"/>
  <c r="D237" i="7"/>
  <c r="E238" i="7"/>
  <c r="D238" i="7"/>
  <c r="E239" i="7"/>
  <c r="D239" i="7"/>
  <c r="E240" i="7"/>
  <c r="D240" i="7"/>
  <c r="E241" i="7"/>
  <c r="D241" i="7"/>
  <c r="E242" i="7"/>
  <c r="D242" i="7"/>
  <c r="E243" i="7"/>
  <c r="D243" i="7"/>
  <c r="E244" i="7"/>
  <c r="D244" i="7"/>
  <c r="E245" i="7"/>
  <c r="D245" i="7"/>
  <c r="E246" i="7"/>
  <c r="D246" i="7"/>
  <c r="E247" i="7"/>
  <c r="D247" i="7"/>
  <c r="E248" i="7"/>
  <c r="D248" i="7"/>
  <c r="E249" i="7"/>
  <c r="D249" i="7"/>
  <c r="E250" i="7"/>
  <c r="D250" i="7"/>
  <c r="E251" i="7"/>
  <c r="D251" i="7"/>
  <c r="E252" i="7"/>
  <c r="D252" i="7"/>
  <c r="E253" i="7"/>
  <c r="D253" i="7"/>
  <c r="E254" i="7"/>
  <c r="D254" i="7"/>
  <c r="E255" i="7"/>
  <c r="D255" i="7"/>
  <c r="E256" i="7"/>
  <c r="D256" i="7"/>
  <c r="E257" i="7"/>
  <c r="D257" i="7"/>
  <c r="E258" i="7"/>
  <c r="D258" i="7"/>
  <c r="E259" i="7"/>
  <c r="D259" i="7"/>
  <c r="E260" i="7"/>
  <c r="D260" i="7"/>
  <c r="E261" i="7"/>
  <c r="D261" i="7"/>
  <c r="E262" i="7"/>
  <c r="D262" i="7"/>
  <c r="E263" i="7"/>
  <c r="D263" i="7"/>
  <c r="E264" i="7"/>
  <c r="D264" i="7"/>
  <c r="E265" i="7"/>
  <c r="D265" i="7"/>
  <c r="E266" i="7"/>
  <c r="D266" i="7"/>
  <c r="E267" i="7"/>
  <c r="D267" i="7"/>
  <c r="E268" i="7"/>
  <c r="D268" i="7"/>
  <c r="E269" i="7"/>
  <c r="D269" i="7"/>
  <c r="E270" i="7"/>
  <c r="D270" i="7"/>
  <c r="E271" i="7"/>
  <c r="D271" i="7"/>
  <c r="E272" i="7"/>
  <c r="D272" i="7"/>
  <c r="E273" i="7"/>
  <c r="D273" i="7"/>
  <c r="E274" i="7"/>
  <c r="D274" i="7"/>
  <c r="E275" i="7"/>
  <c r="D275" i="7"/>
  <c r="E276" i="7"/>
  <c r="D276" i="7"/>
  <c r="E277" i="7"/>
  <c r="D277" i="7"/>
  <c r="E278" i="7"/>
  <c r="D278" i="7"/>
  <c r="E279" i="7"/>
  <c r="D279" i="7"/>
  <c r="E280" i="7"/>
  <c r="D280" i="7"/>
  <c r="E281" i="7"/>
  <c r="D281" i="7"/>
  <c r="E282" i="7"/>
  <c r="D282" i="7"/>
  <c r="E283" i="7"/>
  <c r="D283" i="7"/>
  <c r="E284" i="7"/>
  <c r="D284" i="7"/>
  <c r="E285" i="7"/>
  <c r="D285" i="7"/>
  <c r="E286" i="7"/>
  <c r="D286" i="7"/>
  <c r="E287" i="7"/>
  <c r="D287" i="7"/>
  <c r="E288" i="7"/>
  <c r="D288" i="7"/>
  <c r="E289" i="7"/>
  <c r="D289" i="7"/>
  <c r="E290" i="7"/>
  <c r="D290" i="7"/>
  <c r="E291" i="7"/>
  <c r="D291" i="7"/>
  <c r="E292" i="7"/>
  <c r="D292" i="7"/>
  <c r="E293" i="7"/>
  <c r="D293" i="7"/>
  <c r="E294" i="7"/>
  <c r="D294" i="7"/>
  <c r="E295" i="7"/>
  <c r="D295" i="7"/>
  <c r="E296" i="7"/>
  <c r="D296" i="7"/>
  <c r="E297" i="7"/>
  <c r="D297" i="7"/>
  <c r="E298" i="7"/>
  <c r="D298" i="7"/>
  <c r="E299" i="7"/>
  <c r="D299" i="7"/>
  <c r="E300" i="7"/>
  <c r="D300" i="7"/>
  <c r="E301" i="7"/>
  <c r="D301" i="7"/>
  <c r="E302" i="7"/>
  <c r="D302" i="7"/>
  <c r="E303" i="7"/>
  <c r="D303" i="7"/>
  <c r="E304" i="7"/>
  <c r="D304" i="7"/>
  <c r="E305" i="7"/>
  <c r="D305" i="7"/>
  <c r="E306" i="7"/>
  <c r="D306" i="7"/>
  <c r="E307" i="7"/>
  <c r="D307" i="7"/>
  <c r="E308" i="7"/>
  <c r="D308" i="7"/>
  <c r="E309" i="7"/>
  <c r="D309" i="7"/>
  <c r="E310" i="7"/>
  <c r="D310" i="7"/>
  <c r="E311" i="7"/>
  <c r="D311" i="7"/>
  <c r="E312" i="7"/>
  <c r="D312" i="7"/>
  <c r="E313" i="7"/>
  <c r="D313" i="7"/>
  <c r="E314" i="7"/>
  <c r="D314" i="7"/>
  <c r="E315" i="7"/>
  <c r="D315" i="7"/>
  <c r="E316" i="7"/>
  <c r="D316" i="7"/>
  <c r="E317" i="7"/>
  <c r="D317" i="7"/>
  <c r="E318" i="7"/>
  <c r="D318" i="7"/>
  <c r="E319" i="7"/>
  <c r="D319" i="7"/>
  <c r="E320" i="7"/>
  <c r="D320" i="7"/>
  <c r="E321" i="7"/>
  <c r="D321" i="7"/>
  <c r="E322" i="7"/>
  <c r="D322" i="7"/>
  <c r="E323" i="7"/>
  <c r="D323" i="7"/>
  <c r="E324" i="7"/>
  <c r="D324" i="7"/>
  <c r="E325" i="7"/>
  <c r="D325" i="7"/>
  <c r="E326" i="7"/>
  <c r="D326" i="7"/>
  <c r="E327" i="7"/>
  <c r="D327" i="7"/>
  <c r="E328" i="7"/>
  <c r="D328" i="7"/>
  <c r="E329" i="7"/>
  <c r="D329" i="7"/>
  <c r="D17" i="7"/>
  <c r="D56" i="7"/>
  <c r="D67" i="7"/>
  <c r="D32" i="7"/>
  <c r="D25" i="7"/>
  <c r="H149" i="5"/>
  <c r="D16" i="7"/>
  <c r="D66" i="7"/>
  <c r="D75" i="7"/>
  <c r="D9" i="7"/>
  <c r="D40" i="7"/>
  <c r="E49" i="7"/>
  <c r="D64" i="7"/>
  <c r="D33" i="7"/>
  <c r="D24" i="7"/>
  <c r="E57" i="7"/>
  <c r="I1" i="7"/>
  <c r="E74" i="7"/>
  <c r="D8" i="7"/>
  <c r="E41" i="7"/>
  <c r="D48" i="7"/>
  <c r="G106" i="5"/>
  <c r="H105" i="5"/>
  <c r="D11" i="7"/>
  <c r="D19" i="7"/>
  <c r="D27" i="7"/>
  <c r="D35" i="7"/>
  <c r="D43" i="7"/>
  <c r="D51" i="7"/>
  <c r="D59" i="7"/>
  <c r="D80" i="7"/>
  <c r="D72" i="7"/>
  <c r="G104" i="5"/>
  <c r="I103" i="5"/>
  <c r="H106" i="5"/>
  <c r="G103" i="5"/>
  <c r="I104" i="5"/>
  <c r="D10" i="7"/>
  <c r="D18" i="7"/>
  <c r="D26" i="7"/>
  <c r="D34" i="7"/>
  <c r="D50" i="7"/>
  <c r="D58" i="7"/>
  <c r="E76" i="7"/>
  <c r="E84" i="7"/>
  <c r="I105" i="5"/>
  <c r="I2" i="7"/>
  <c r="D4" i="7"/>
  <c r="E68" i="7"/>
  <c r="G128" i="5"/>
  <c r="E2" i="7"/>
  <c r="E12" i="7"/>
  <c r="E20" i="7"/>
  <c r="E28" i="7"/>
  <c r="E36" i="7"/>
  <c r="E44" i="7"/>
  <c r="E52" i="7"/>
  <c r="E60" i="7"/>
  <c r="D73" i="7"/>
  <c r="G150" i="5"/>
  <c r="D65" i="7"/>
  <c r="H104" i="5"/>
  <c r="H130" i="5"/>
  <c r="H134" i="5"/>
  <c r="H138" i="5"/>
  <c r="H142" i="5"/>
  <c r="H146" i="5"/>
  <c r="H150" i="5"/>
  <c r="E6" i="7"/>
  <c r="E14" i="7"/>
  <c r="E22" i="7"/>
  <c r="E30" i="7"/>
  <c r="E38" i="7"/>
  <c r="E46" i="7"/>
  <c r="E54" i="7"/>
  <c r="E62" i="7"/>
  <c r="E70" i="7"/>
  <c r="E78" i="7"/>
  <c r="E86" i="7"/>
  <c r="G131" i="5"/>
  <c r="G135" i="5"/>
  <c r="G139" i="5"/>
  <c r="G143" i="5"/>
  <c r="G147" i="5"/>
  <c r="G151" i="5"/>
  <c r="H103" i="5"/>
  <c r="H131" i="5"/>
  <c r="H135" i="5"/>
  <c r="H139" i="5"/>
  <c r="H143" i="5"/>
  <c r="H147" i="5"/>
  <c r="H151" i="5"/>
  <c r="D5" i="7"/>
  <c r="D13" i="7"/>
  <c r="D21" i="7"/>
  <c r="D29" i="7"/>
  <c r="D37" i="7"/>
  <c r="D45" i="7"/>
  <c r="D53" i="7"/>
  <c r="D61" i="7"/>
  <c r="D69" i="7"/>
  <c r="D77" i="7"/>
  <c r="D85" i="7"/>
  <c r="G102" i="5"/>
  <c r="G132" i="5"/>
  <c r="G136" i="5"/>
  <c r="G140" i="5"/>
  <c r="G144" i="5"/>
  <c r="G148" i="5"/>
  <c r="H102" i="5"/>
  <c r="H132" i="5"/>
  <c r="H136" i="5"/>
  <c r="H140" i="5"/>
  <c r="H144" i="5"/>
  <c r="H148" i="5"/>
  <c r="D3" i="7"/>
  <c r="D7" i="7"/>
  <c r="D15" i="7"/>
  <c r="D23" i="7"/>
  <c r="D31" i="7"/>
  <c r="D39" i="7"/>
  <c r="D47" i="7"/>
  <c r="D55" i="7"/>
  <c r="D63" i="7"/>
  <c r="D71" i="7"/>
  <c r="D79" i="7"/>
  <c r="D87" i="7"/>
  <c r="G101" i="5"/>
  <c r="L101" i="5" s="1"/>
  <c r="L102" i="5" s="1"/>
  <c r="I102" i="5"/>
  <c r="G105" i="5"/>
  <c r="I106" i="5"/>
  <c r="H128" i="5"/>
  <c r="G129" i="5"/>
  <c r="G133" i="5"/>
  <c r="G137" i="5"/>
  <c r="G141" i="5"/>
  <c r="G145" i="5"/>
  <c r="G149" i="5"/>
  <c r="D2" i="7"/>
  <c r="H101" i="5"/>
  <c r="H129" i="5"/>
  <c r="H133" i="5"/>
  <c r="H137" i="5"/>
  <c r="H141" i="5"/>
  <c r="H145" i="5"/>
  <c r="I101" i="5"/>
  <c r="N101" i="5" s="1"/>
  <c r="G130" i="5"/>
  <c r="G134" i="5"/>
  <c r="G138" i="5"/>
  <c r="G142" i="5"/>
  <c r="G146" i="5"/>
  <c r="J2" i="7" l="1"/>
  <c r="J103" i="5"/>
  <c r="J105" i="5"/>
  <c r="J106" i="5"/>
  <c r="J104" i="5"/>
  <c r="L103" i="5"/>
  <c r="L104" i="5" s="1"/>
  <c r="L105" i="5" s="1"/>
  <c r="L106" i="5" s="1"/>
  <c r="I4" i="7"/>
  <c r="J4" i="7" s="1"/>
  <c r="N102" i="5"/>
  <c r="N103" i="5" s="1"/>
  <c r="N104" i="5" s="1"/>
  <c r="N105" i="5" s="1"/>
  <c r="N106" i="5" s="1"/>
  <c r="J102" i="5"/>
  <c r="J101" i="5"/>
  <c r="M101" i="5" s="1"/>
  <c r="I3" i="7"/>
  <c r="J3" i="7" s="1"/>
  <c r="M102" i="5" l="1"/>
  <c r="M103" i="5" s="1"/>
  <c r="M104" i="5" s="1"/>
  <c r="M105" i="5" s="1"/>
  <c r="M10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 Belén Del Pozo Holgado</author>
  </authors>
  <commentList>
    <comment ref="D8" authorId="0" shapeId="0" xr:uid="{302C411B-C91E-4C60-B5D8-049AA3FBA408}">
      <text>
        <r>
          <rPr>
            <sz val="9"/>
            <color indexed="81"/>
            <rFont val="Tahoma"/>
            <family val="2"/>
          </rPr>
          <t>Persona del equipo cliente que notifica la incidencia y con quien hay que comunicarse</t>
        </r>
      </text>
    </comment>
    <comment ref="E8" authorId="0" shapeId="0" xr:uid="{3CCDE9B2-E5CF-4646-BA31-B9D41DEF4D5E}">
      <text>
        <r>
          <rPr>
            <sz val="9"/>
            <color indexed="81"/>
            <rFont val="Tahoma"/>
            <family val="2"/>
          </rPr>
          <t>Categorizar el tipo de incidencia, si es un error o problema en el sistema que debe corregirse, una duda o consulta sobre funcionamiento, o es una petición para cambio o mejora frente a la funcionalidad actual.</t>
        </r>
      </text>
    </comment>
    <comment ref="F8" authorId="0" shapeId="0" xr:uid="{64F69C1E-1223-4AFA-90A8-5205E3733389}">
      <text>
        <r>
          <rPr>
            <sz val="9"/>
            <color indexed="81"/>
            <rFont val="Tahoma"/>
            <family val="2"/>
          </rPr>
          <t xml:space="preserve">Clasificación según el equipo de Altim. Podremos comparar/revisar en caso de discrepancia con el tipo con el que se da de alta.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 Belén Del Pozo Holgado</author>
  </authors>
  <commentList>
    <comment ref="B1" authorId="0" shapeId="0" xr:uid="{A74E4140-8AF7-4F57-A772-119509856393}">
      <text>
        <r>
          <rPr>
            <sz val="9"/>
            <color indexed="81"/>
            <rFont val="Tahoma"/>
            <family val="2"/>
          </rPr>
          <t>Persona del equipo cliente que notifica la incidencia y con quien hay que comunicarse</t>
        </r>
      </text>
    </comment>
    <comment ref="C1" authorId="0" shapeId="0" xr:uid="{DF9A9FFE-CC99-4D8B-B440-94207AF03CA7}">
      <text>
        <r>
          <rPr>
            <sz val="9"/>
            <color indexed="81"/>
            <rFont val="Tahoma"/>
            <family val="2"/>
          </rPr>
          <t xml:space="preserve">Clasificación según el equipo de Altim. Podremos comparar/revisar en caso de discrepancia con el tipo con el que se da de alta.
</t>
        </r>
      </text>
    </comment>
    <comment ref="H1" authorId="0" shapeId="0" xr:uid="{7F37A380-9DE0-46FA-991C-7A0C96286A98}">
      <text>
        <r>
          <rPr>
            <sz val="9"/>
            <color indexed="81"/>
            <rFont val="Tahoma"/>
            <family val="2"/>
          </rPr>
          <t>Fecha en la que se notifica al cliente de su resolución, y queda a la espera de validación.
Si una incidencia se reabre, se debe borrar el campo.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DAE1D4-CF74-4D06-977E-3B1CD86BF75C}" keepAlive="1" name="Consulta - Tabla1" description="Conexión a la consulta 'Tabla1' en el libro." type="5" refreshedVersion="7" background="1" saveData="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<sst xmlns="http://schemas.openxmlformats.org/spreadsheetml/2006/main" count="1876" uniqueCount="470">
  <si>
    <t>Prioridad</t>
  </si>
  <si>
    <t>Módulo</t>
  </si>
  <si>
    <t>Crítica</t>
  </si>
  <si>
    <t>Finanzas</t>
  </si>
  <si>
    <t>En proceso</t>
  </si>
  <si>
    <t>Alta</t>
  </si>
  <si>
    <t>Integración Alm. SGA</t>
  </si>
  <si>
    <t>Parada por MP</t>
  </si>
  <si>
    <t>Media</t>
  </si>
  <si>
    <t>O2C - Order to cash</t>
  </si>
  <si>
    <t>Solucionada</t>
  </si>
  <si>
    <t>Baja</t>
  </si>
  <si>
    <t>P2P – Procure to pay</t>
  </si>
  <si>
    <t>Entregada</t>
  </si>
  <si>
    <t>Total general</t>
  </si>
  <si>
    <t>IT</t>
  </si>
  <si>
    <t>Pte Info MP</t>
  </si>
  <si>
    <t>Gestión</t>
  </si>
  <si>
    <t>Descartada</t>
  </si>
  <si>
    <t>Total</t>
  </si>
  <si>
    <t>Nueva</t>
  </si>
  <si>
    <t>Abierta</t>
  </si>
  <si>
    <t>Duplicada</t>
  </si>
  <si>
    <t>Pte de Pruebas MP</t>
  </si>
  <si>
    <t>Nº</t>
  </si>
  <si>
    <t>F. Incid.</t>
  </si>
  <si>
    <t>TIPO</t>
  </si>
  <si>
    <t>Tipo según ALTIM</t>
  </si>
  <si>
    <t>Bloque</t>
  </si>
  <si>
    <t xml:space="preserve">Descripción / Documento </t>
  </si>
  <si>
    <t>Observaciones</t>
  </si>
  <si>
    <t>Comentarios</t>
  </si>
  <si>
    <t>Sistema</t>
  </si>
  <si>
    <t>Responsable Altim</t>
  </si>
  <si>
    <t>Estado</t>
  </si>
  <si>
    <t>F.Entrega</t>
  </si>
  <si>
    <t>F. Cierre
Prevista</t>
  </si>
  <si>
    <t>COMENTARIOS FINALES CONSULTOR</t>
  </si>
  <si>
    <t>Responsable</t>
  </si>
  <si>
    <t>EUR0001</t>
  </si>
  <si>
    <t>Paula</t>
  </si>
  <si>
    <t>Petición</t>
  </si>
  <si>
    <t>COMP</t>
  </si>
  <si>
    <t>UATs #1 - Hasta 20/01/2026</t>
  </si>
  <si>
    <t>Comunicación desde SAP a Aceuro las modificaciones manuales de factura proveedor</t>
  </si>
  <si>
    <t>Sin prioridad</t>
  </si>
  <si>
    <t>Integración no contemplada en el alcance del proyecto</t>
  </si>
  <si>
    <t>Daniel CH.</t>
  </si>
  <si>
    <t>91Cerrada</t>
  </si>
  <si>
    <t>EUR0002</t>
  </si>
  <si>
    <t>Incidencia</t>
  </si>
  <si>
    <t>Debe aparecer el campo Expediente en la nueva app de Gestión de Ordenes de Compra</t>
  </si>
  <si>
    <t>Faltaba una order deWorkbench por subir que aplicaba el cambio</t>
  </si>
  <si>
    <t>Miguel E.</t>
  </si>
  <si>
    <t>3Entregada</t>
  </si>
  <si>
    <t>EUR0003</t>
  </si>
  <si>
    <t>VENTAS</t>
  </si>
  <si>
    <t>No aparece el campo del prescriptor en la pantalla 
de la nueva aplicación 'Gestión de pedido de cliente v2'</t>
  </si>
  <si>
    <t>Disponible para probar TEST</t>
  </si>
  <si>
    <t>Paco G.</t>
  </si>
  <si>
    <t>EUR0004</t>
  </si>
  <si>
    <t>Marisa</t>
  </si>
  <si>
    <t xml:space="preserve">No sale el PDF de factura de anulación (documento S1) </t>
  </si>
  <si>
    <t>Disponible para probar en TEST</t>
  </si>
  <si>
    <t>Gloria B.</t>
  </si>
  <si>
    <t>EUR0005</t>
  </si>
  <si>
    <t>Yolanda</t>
  </si>
  <si>
    <t>Consulta</t>
  </si>
  <si>
    <t>El documento de anticipo (FAZ) tiene el Debe/Haber al revés / no se 
entiende dicho documento</t>
  </si>
  <si>
    <t>Explicaciones en correo de Ricardo 'EUROVAL: UATs Globales - Ventas'.
Amal puede reforzar dicha explicación a petición o futuras sesiones</t>
  </si>
  <si>
    <t>Amal H.</t>
  </si>
  <si>
    <t>1En proceso</t>
  </si>
  <si>
    <t>EUR0006</t>
  </si>
  <si>
    <t>El importe del anticipo enviado por la integración no se corresponde
con el que aparece en SAP</t>
  </si>
  <si>
    <t>Se envían 242€ de provisión y en SAP aparecen 180€.</t>
  </si>
  <si>
    <t xml:space="preserve"> Corregido y disponible en TEST</t>
  </si>
  <si>
    <t>Jose Miguel J.</t>
  </si>
  <si>
    <t>EUR0007</t>
  </si>
  <si>
    <t>No se vuelca correctamente la liquidación del anticipo en la factura
final del cliente (documento F2)</t>
  </si>
  <si>
    <t>Corregido y disponible en TEST</t>
  </si>
  <si>
    <t>EUR0008</t>
  </si>
  <si>
    <t>Se debe volcar la cuenta de ingreso de la provisión de fondos en la
integración hacia SAP, de forma que ayude a EUROVAL a localizar
de manera ágil que extractos se corresponden con qué anticipos a la
hora de conciliar</t>
  </si>
  <si>
    <t xml:space="preserve">Integración ampliada para contemplar la cuenta de ingreso de provisión.
Disponible en TEST  </t>
  </si>
  <si>
    <t>EUR0009</t>
  </si>
  <si>
    <t>Manuel</t>
  </si>
  <si>
    <t>No se está aplicando la reversión de la provisión de ingreso en el flujo
de ventas.</t>
  </si>
  <si>
    <t>Ricardo M.</t>
  </si>
  <si>
    <t>EUR0010</t>
  </si>
  <si>
    <t>Proceso de contabilización de provisiones de gastos financieros</t>
  </si>
  <si>
    <t>Respuesta a la consulta en correo: Altim_Euroval: Pendientes sesión UATs Finanzas</t>
  </si>
  <si>
    <t>EUR0011</t>
  </si>
  <si>
    <t>Generación de documentos de comenpensación</t>
  </si>
  <si>
    <t>EUR0012</t>
  </si>
  <si>
    <t>CONTROL</t>
  </si>
  <si>
    <t>Agregar campo "tercero" en informes de centros de coste, centros de beneficio y segmentos de mercado. Actualmente, a finanzas, ese campo llega como "texto posición".</t>
  </si>
  <si>
    <t>La solución pasa por crear una CDS</t>
  </si>
  <si>
    <t>No es posible en informes estándar añadir campos adicionales. Se tiene que ver si es posible la derivación a un campo vacío.</t>
  </si>
  <si>
    <t>Eneko C.</t>
  </si>
  <si>
    <t>Analizando Posibilidades</t>
  </si>
  <si>
    <t>EUR0013</t>
  </si>
  <si>
    <t>Alberto</t>
  </si>
  <si>
    <t>Agregar más campos en la parte superior de los informes de control  de gestión</t>
  </si>
  <si>
    <t>No es posible añadir columnas adicionales en informes estándar.</t>
  </si>
  <si>
    <t>Analizando posibilidades</t>
  </si>
  <si>
    <t>soporte diario en finanzas</t>
  </si>
  <si>
    <t>Tarifa mas descuento de Leandro</t>
  </si>
  <si>
    <t>Devolucion Portugal</t>
  </si>
  <si>
    <t>Voucher</t>
  </si>
  <si>
    <t>Factura de Portugal</t>
  </si>
  <si>
    <t>Correccion de la factura para el voucher</t>
  </si>
  <si>
    <t>PDF hay que hacer algún ajuste</t>
  </si>
  <si>
    <t>Respon MP</t>
  </si>
  <si>
    <t>Comentarios 02/06/2025</t>
  </si>
  <si>
    <t>Tarea</t>
  </si>
  <si>
    <t>MP-0001</t>
  </si>
  <si>
    <t>Isabel, Felipe</t>
  </si>
  <si>
    <t>Proyecto</t>
  </si>
  <si>
    <t>Cierre contable 2024 - Extraccion de Información</t>
  </si>
  <si>
    <t>Entregado todo lo requerido</t>
  </si>
  <si>
    <t>Confirmar para cerrar</t>
  </si>
  <si>
    <t>MP</t>
  </si>
  <si>
    <t>MP-00011</t>
  </si>
  <si>
    <t>Cierre contable 2024 - Manipulacion de ficheros para cargar en navision de información extraida</t>
  </si>
  <si>
    <t>Transformado todos los fichero requeridos</t>
  </si>
  <si>
    <t>MP-00012</t>
  </si>
  <si>
    <t>Cierre contable 2024 - Información SII</t>
  </si>
  <si>
    <t>Extraida la información solicitada y cruzada con el SII</t>
  </si>
  <si>
    <t>MP-0002</t>
  </si>
  <si>
    <t>Isabel</t>
  </si>
  <si>
    <t>Evolutivo</t>
  </si>
  <si>
    <t>P2P</t>
  </si>
  <si>
    <t>Contabilización de costes indirectos en las compras de importación, flete, arancelario etc</t>
  </si>
  <si>
    <t>Se ha priorizado otra incidencia</t>
  </si>
  <si>
    <t>MP-0003</t>
  </si>
  <si>
    <r>
      <t>Meridiano Palaciano no tiene IVA</t>
    </r>
    <r>
      <rPr>
        <strike/>
        <sz val="9"/>
        <rFont val="Arial"/>
        <family val="2"/>
      </rPr>
      <t xml:space="preserve"> repercutido 23% </t>
    </r>
    <r>
      <rPr>
        <sz val="9"/>
        <rFont val="Arial"/>
        <family val="2"/>
      </rPr>
      <t>Soportado</t>
    </r>
  </si>
  <si>
    <t>Pendiente de prueba por parte de MP</t>
  </si>
  <si>
    <t>MP-0004</t>
  </si>
  <si>
    <t>Felipe</t>
  </si>
  <si>
    <t xml:space="preserve">CUENTA 5201100002. Configuración de póliza de crédito de los bancos. </t>
  </si>
  <si>
    <t>Pte de probar por Altim</t>
  </si>
  <si>
    <t>Pte de probar</t>
  </si>
  <si>
    <t>Altim</t>
  </si>
  <si>
    <t>MP-0006</t>
  </si>
  <si>
    <t>Errores en el proceso de cobro por pagaré</t>
  </si>
  <si>
    <t>Cerrada</t>
  </si>
  <si>
    <t>Analizado proceso</t>
  </si>
  <si>
    <t>Confirmar el cierre</t>
  </si>
  <si>
    <t>MP-00061</t>
  </si>
  <si>
    <t>Se intenta buscar una vía para que se pueda automatizar el proceso- Configuracion y pruebas</t>
  </si>
  <si>
    <t>Configurada propuesta de solución</t>
  </si>
  <si>
    <t>MP-00062</t>
  </si>
  <si>
    <t>Se intenta buscar una vía para que se pueda automatizar el proceso- Formacion y Manual</t>
  </si>
  <si>
    <t>Manual de propuesta de solución</t>
  </si>
  <si>
    <t>MP-0007</t>
  </si>
  <si>
    <t>Error listado/libro facturas emitidas y recibidas</t>
  </si>
  <si>
    <t>Se facilita informe y la manera de ejecutarlo</t>
  </si>
  <si>
    <t>MP-00071</t>
  </si>
  <si>
    <t>Extraccion documentos con II NT</t>
  </si>
  <si>
    <t>Se extrae la información y se facilita al usuario</t>
  </si>
  <si>
    <t>MP-00072</t>
  </si>
  <si>
    <t>Se requiere extraer el listado de proveedores y clientes para verificar cuales no tienen NIF o el NIF en campo 2 y 3 necesario de copiar en NIF1 Enviar listado</t>
  </si>
  <si>
    <t>Se extre la información y se facilita al usuario</t>
  </si>
  <si>
    <t>MP-0008</t>
  </si>
  <si>
    <t xml:space="preserve">Problemas sacar informe financieros oficiales </t>
  </si>
  <si>
    <t>Se facilita informe y la manera de ejecutarlo, crendo layout según requerimientos</t>
  </si>
  <si>
    <t>MP-0009</t>
  </si>
  <si>
    <t>Problemas en facturaciones por errores en los datos maestros de interlocutores.</t>
  </si>
  <si>
    <t>No se identificar ningún error el usuario nos indica que lo cerremos</t>
  </si>
  <si>
    <t>MP-0010</t>
  </si>
  <si>
    <t>Integración</t>
  </si>
  <si>
    <t>Con el intercompany actual, Meridiano Palaciano no tiene su proceso de devolución. No hay abono ni factura rectificativa de Portugal.</t>
  </si>
  <si>
    <t xml:space="preserve">Se ejecuta el proceso y se enseña pero se identifica mas GAPS </t>
  </si>
  <si>
    <t>MP-00101</t>
  </si>
  <si>
    <t>Auditar la determianción de cuentas de aprovisionamiento</t>
  </si>
  <si>
    <t>Se realiza una reunión de trabajo donde se identifican muchos errores de configuración y DM</t>
  </si>
  <si>
    <t>MP-0012</t>
  </si>
  <si>
    <t xml:space="preserve">Isabel </t>
  </si>
  <si>
    <t>Factura de venta/ Factura rectificativa/Nota de crédito
- Formato de las facturas
- Contenido comercial 
- Configuración fiscal 
Formulario de venttas</t>
  </si>
  <si>
    <t>Formulario de ventas planificado poner pte de MP el 03/06</t>
  </si>
  <si>
    <t>Entregar a MP para probar</t>
  </si>
  <si>
    <t>MP-0013</t>
  </si>
  <si>
    <t>O2C</t>
  </si>
  <si>
    <t>Otras funciones de facturas de venta</t>
  </si>
  <si>
    <t>Retraso por no haber recurso de ventas</t>
  </si>
  <si>
    <t>MP-0016</t>
  </si>
  <si>
    <t xml:space="preserve">La app "Gestión de partidas deudor", queremos que aparece información de los comerciales / vendedores, para distinguir diferente forma de pago </t>
  </si>
  <si>
    <t>Se para, , actualmente no es viable técnicament.</t>
  </si>
  <si>
    <t>MP-0034</t>
  </si>
  <si>
    <t>Lu WANG</t>
  </si>
  <si>
    <t>Facturas / Nota de crédito mal recargo equivalencia</t>
  </si>
  <si>
    <t>Se analiza y se explica el proceso porque se calcula correctamente</t>
  </si>
  <si>
    <t>MP-0035</t>
  </si>
  <si>
    <t xml:space="preserve">No hay una sincronización entre SGA  y SAP:
1.SGA cuando hace la entrega, viaja a SAP, hace el picking y viaja a SAP, hace la salida y viaja a SAP y en SAP no contabiliza por motivos desconocidos.
2. Los almacenes que hay en SGA no coinciden con los que hay en SAP (no se quiso replicarlos). Es imprescindible definir la arquitectura necesaria para que SGA pueda llevar la trazabilidad deseada.
3. Cuando cambia unidad de medida en SAP, no se cambia en el CRM.
4. Cuando se registra el picking y se pasa la entrega a SAP, la API es muy lenta
5. Todo lo que tiene que ver con estados, modificación de un pedido, etc. no comunica (Problema de API).
Se desconoce cómo cerrar Pedidos de venta que tienen entregas parciales: tienen mucho stock “colgado”, que aparece como reservado y no es así.
Los pedidos de venta que tienen más de 2000 posiciones no entran en SAP desde CRM, parece que SAP no lo permite.
El pedido de MM no puede ser más de 9999.
</t>
  </si>
  <si>
    <t>Nivel funcional parado por priorizacion de otras incidencias de Logística</t>
  </si>
  <si>
    <t>MP-00351</t>
  </si>
  <si>
    <t>Liu Yalu</t>
  </si>
  <si>
    <t>Revisión Integración Suite</t>
  </si>
  <si>
    <t>En revisión las funciones que se estan utilizando</t>
  </si>
  <si>
    <t>MP-0049</t>
  </si>
  <si>
    <t>No hay abono ni factura rectificativa de Portugal</t>
  </si>
  <si>
    <t>Entregada el Juevese identificado nuevos GAPS</t>
  </si>
  <si>
    <t>MP-0054</t>
  </si>
  <si>
    <t>Problemas con Subcontratación Expositores</t>
  </si>
  <si>
    <t>Para por priorizar Devoluciones</t>
  </si>
  <si>
    <t>MP-00551</t>
  </si>
  <si>
    <t>Manipulación  (Carrefour) (Pendiente por despachar)</t>
  </si>
  <si>
    <t>MP-0061</t>
  </si>
  <si>
    <t>lu WANG</t>
  </si>
  <si>
    <t>Facturas emitidas con producto sin centro de beneficio asignado</t>
  </si>
  <si>
    <t>Incidencia scerrada y medida preventiva en proceso</t>
  </si>
  <si>
    <t>MP-00611</t>
  </si>
  <si>
    <t>Facturas emitidas con producto sin centro de beneficio asignado/ Aplcar a los DM que se ponga obligatorio el CEBE. Extracción de los materiales.</t>
  </si>
  <si>
    <t>Se extraen Materiales , pendiente de recibir CeBe de los faltantes</t>
  </si>
  <si>
    <t>Definir los cebes de los materiales</t>
  </si>
  <si>
    <t>MP-0074</t>
  </si>
  <si>
    <t>INCIDENCIA en las facturas de Ventas no suben al SII, ERROR 1219</t>
  </si>
  <si>
    <t>Se analiza la incidencia y se soluciona</t>
  </si>
  <si>
    <t>MP-0079</t>
  </si>
  <si>
    <t>Susana</t>
  </si>
  <si>
    <t>INCIDENCIA EN LAS CUIENTAS DE MAYOR 4109000001/4109000002 Y 4109000003</t>
  </si>
  <si>
    <t>Subida las correcciones a producción</t>
  </si>
  <si>
    <t>MP-0081</t>
  </si>
  <si>
    <t xml:space="preserve">INCIDENCIA EN EL LIBRO DE CAJA </t>
  </si>
  <si>
    <t>MP-0084</t>
  </si>
  <si>
    <t>Susana, Ana</t>
  </si>
  <si>
    <t>Necesitamos que todas las cuentas se puedan contabilizar de forma manual.</t>
  </si>
  <si>
    <t>Realizada correcciones pte de validación MP</t>
  </si>
  <si>
    <t>Pte de validación</t>
  </si>
  <si>
    <t>MP-0085</t>
  </si>
  <si>
    <t>Que todas las cuentas del grupo 6 y grupo 7 se puedan contabilizar sin que tenga un indicador de impuesto Entonces por favor del grupo 7 solo habilitarme sin que tenga el indicador de impuesto  las cuentas 76- y de gastos quiero todas menos las 6000.
Extraccion de información</t>
  </si>
  <si>
    <t>Realizada</t>
  </si>
  <si>
    <t>MP-00851</t>
  </si>
  <si>
    <t>Que todas las cuentas del grupo 6 y grupo 7 se puedan contabilizar sin que tenga un indicador de impuesto Entonces por favor del grupo 7 solo habilitarme sin que tenga el indicador de impuesto  las cuentas 76- y de gastos quiero todas menos las 6000.
Cambio en la configuración</t>
  </si>
  <si>
    <t>MP-0089</t>
  </si>
  <si>
    <t>Queremos crear nuevas cuentas de visa o de gasto, etc…  y no podemos hacerlo ninguna de las contables. Por favor enseñárselo bien a los que tengan acceso para no tener problemas de este tipo. Poder contabilizar de forma manual, sin indicador y que estén asignadas</t>
  </si>
  <si>
    <t>Pendiente de confirmar requerimientos</t>
  </si>
  <si>
    <t>Pendiente confirmación</t>
  </si>
  <si>
    <t>Altim/MP</t>
  </si>
  <si>
    <t>MP-0090</t>
  </si>
  <si>
    <t>Por último, por favor cerrarme los periodos contables y enseñarnos porque transacción podemos abrir y cerrarlos porque nos podemos confundir y contabilizar facturas en fechas que no queremos</t>
  </si>
  <si>
    <t>Enviado a MP, pte de confirmar que esta hecho</t>
  </si>
  <si>
    <t>MP-0092</t>
  </si>
  <si>
    <t>necesario implementar una validación donde la la fecha de contabilización sea igual o mayor a la fecha del pedido.</t>
  </si>
  <si>
    <t>Verificanco viabilidad</t>
  </si>
  <si>
    <t>MP-0095</t>
  </si>
  <si>
    <t>Formación</t>
  </si>
  <si>
    <t>Fomación de arquitectura de sistemas de Private cloud S4 HANA</t>
  </si>
  <si>
    <t>Realizado</t>
  </si>
  <si>
    <t>MP-0100</t>
  </si>
  <si>
    <t>Formación Interco</t>
  </si>
  <si>
    <t>MP-0101</t>
  </si>
  <si>
    <t>El destinatario de factura puede ser un autonomo y el cliente una empresa</t>
  </si>
  <si>
    <t>Entregado.</t>
  </si>
  <si>
    <t>MP-0103</t>
  </si>
  <si>
    <t xml:space="preserve">Luna, Susana </t>
  </si>
  <si>
    <t>Estructura de balance</t>
  </si>
  <si>
    <t>Subir a Producción</t>
  </si>
  <si>
    <t>MP-0107</t>
  </si>
  <si>
    <t>Vencimiento neto de las partidas</t>
  </si>
  <si>
    <t>MP-0108</t>
  </si>
  <si>
    <t>Reunión comercio Internacional</t>
  </si>
  <si>
    <t>MP-0109</t>
  </si>
  <si>
    <t>susana</t>
  </si>
  <si>
    <t>Cambio</t>
  </si>
  <si>
    <t>Necesito que se pueda contabilizar de forma manual o directamente las cuentas 407… de anticipos.
La cuenta 5201000008 (Tarjeta Caixa  0859) necesito que me cambies el concepto de la cuenta Tarjeta Caixa 0517/8220
La cuenta 5201000019
Tarjeta Sabadel 9022
Tarjeta Sabadell 5540 0146 6938 9022
YCOA
ES01
que me la cambies el concepto por Tarjeta Caixa 6923  y me lo asocies al banco de la caixa .</t>
  </si>
  <si>
    <t>Pte de confirmar con MP</t>
  </si>
  <si>
    <t>MP-0110</t>
  </si>
  <si>
    <t>Patrimonio de Activos Fijos en ES01</t>
  </si>
  <si>
    <t>Se manda información y como extraerla</t>
  </si>
  <si>
    <t>MP-0111</t>
  </si>
  <si>
    <t>Anticipo, arias opciones a la hora de generar un anticipo de manera manual</t>
  </si>
  <si>
    <t>Se manda información y como relizarlo</t>
  </si>
  <si>
    <t>MP-0112</t>
  </si>
  <si>
    <t>Marta</t>
  </si>
  <si>
    <t>Duda en facturas de compras intracomunitarias.el regitro info es lo que lleva el historial de a quien le compraste y a qué precio se lo compraste, en este punto no se rige la contabilización.
La contabilización se verifica en la categoría de valoración del material</t>
  </si>
  <si>
    <t>Horas</t>
  </si>
  <si>
    <t>Mes</t>
  </si>
  <si>
    <t>MP-0000</t>
  </si>
  <si>
    <t>Mayo</t>
  </si>
  <si>
    <t>MP-0005</t>
  </si>
  <si>
    <t>MP-0055</t>
  </si>
  <si>
    <t>MP-0071</t>
  </si>
  <si>
    <t>MP-0073</t>
  </si>
  <si>
    <t>MP-0075</t>
  </si>
  <si>
    <t>MP-0082</t>
  </si>
  <si>
    <t>MP-0083</t>
  </si>
  <si>
    <t>MP-0086</t>
  </si>
  <si>
    <t>MP-0087</t>
  </si>
  <si>
    <t>MP-0096</t>
  </si>
  <si>
    <t>MP-0097</t>
  </si>
  <si>
    <t>MP-0098</t>
  </si>
  <si>
    <t>MP-0099</t>
  </si>
  <si>
    <t>MP-0102</t>
  </si>
  <si>
    <t>MP-0104</t>
  </si>
  <si>
    <t>MP-0105</t>
  </si>
  <si>
    <t>MP-01121</t>
  </si>
  <si>
    <t>MP-01122</t>
  </si>
  <si>
    <t>MP-01123</t>
  </si>
  <si>
    <t>MP-0113</t>
  </si>
  <si>
    <t>MP-0115</t>
  </si>
  <si>
    <t>Junio</t>
  </si>
  <si>
    <t>MP-0126</t>
  </si>
  <si>
    <t>MP-0125</t>
  </si>
  <si>
    <t>MP-0017</t>
  </si>
  <si>
    <t>MP-0029</t>
  </si>
  <si>
    <t>MP-0077</t>
  </si>
  <si>
    <t xml:space="preserve">MP-0003
</t>
  </si>
  <si>
    <t>MP-00014</t>
  </si>
  <si>
    <t>MP-0020</t>
  </si>
  <si>
    <t>MP-0121</t>
  </si>
  <si>
    <t>MP-0028</t>
  </si>
  <si>
    <t>MP-00081</t>
  </si>
  <si>
    <t xml:space="preserve">MP-0119	</t>
  </si>
  <si>
    <t>MP-0024</t>
  </si>
  <si>
    <t>MP-0122</t>
  </si>
  <si>
    <t xml:space="preserve">MP-0097
</t>
  </si>
  <si>
    <t>MP-00495</t>
  </si>
  <si>
    <t>MP-0120</t>
  </si>
  <si>
    <t>MP-0078</t>
  </si>
  <si>
    <t>MP-00122</t>
  </si>
  <si>
    <t>MP-0106</t>
  </si>
  <si>
    <t>MP-0125 </t>
  </si>
  <si>
    <t>MP-0131</t>
  </si>
  <si>
    <t>MP-00171</t>
  </si>
  <si>
    <t>MP-0128</t>
  </si>
  <si>
    <t xml:space="preserve">MP-0026	</t>
  </si>
  <si>
    <t>MP-01119</t>
  </si>
  <si>
    <t>BI</t>
  </si>
  <si>
    <t xml:space="preserve">II </t>
  </si>
  <si>
    <t>Sumariza</t>
  </si>
  <si>
    <t>MP-0117</t>
  </si>
  <si>
    <t>MP-0026</t>
  </si>
  <si>
    <t>MP-0026_</t>
  </si>
  <si>
    <t>MP-00015</t>
  </si>
  <si>
    <t>MP-00121</t>
  </si>
  <si>
    <t>MP-00123</t>
  </si>
  <si>
    <t>MP-0014</t>
  </si>
  <si>
    <t>MP-0030</t>
  </si>
  <si>
    <t>MP-0124</t>
  </si>
  <si>
    <t>MP-00492</t>
  </si>
  <si>
    <t>MP-00491</t>
  </si>
  <si>
    <t>MP-0080</t>
  </si>
  <si>
    <t xml:space="preserve">MP-0136	</t>
  </si>
  <si>
    <t xml:space="preserve">MP-0134	</t>
  </si>
  <si>
    <t xml:space="preserve">MP-0076	</t>
  </si>
  <si>
    <t xml:space="preserve">MP-0135	</t>
  </si>
  <si>
    <t xml:space="preserve">MP-0023	</t>
  </si>
  <si>
    <t xml:space="preserve">MP-0132	</t>
  </si>
  <si>
    <t xml:space="preserve">MP-0137	</t>
  </si>
  <si>
    <t>MP-0093</t>
  </si>
  <si>
    <t>MP-0116</t>
  </si>
  <si>
    <t>MP-0114</t>
  </si>
  <si>
    <t>MP-0076_</t>
  </si>
  <si>
    <t>MP-0076</t>
  </si>
  <si>
    <t>MP-00063</t>
  </si>
  <si>
    <t>MP-00126</t>
  </si>
  <si>
    <t>MP-00128</t>
  </si>
  <si>
    <t>MP-0127</t>
  </si>
  <si>
    <t>MP-0139:</t>
  </si>
  <si>
    <t>MP-0138</t>
  </si>
  <si>
    <t>MP-0137</t>
  </si>
  <si>
    <t>MP-0134</t>
  </si>
  <si>
    <t>MP-0133</t>
  </si>
  <si>
    <t>MP-0015</t>
  </si>
  <si>
    <t>MP-0141</t>
  </si>
  <si>
    <t xml:space="preserve">MP-0139	</t>
  </si>
  <si>
    <t xml:space="preserve">MP-0140	</t>
  </si>
  <si>
    <t xml:space="preserve">MP-0102	</t>
  </si>
  <si>
    <t>MP-0142</t>
  </si>
  <si>
    <t>MP-00102</t>
  </si>
  <si>
    <t>MP_0139</t>
  </si>
  <si>
    <t>MP-0023</t>
  </si>
  <si>
    <t>MP-0143</t>
  </si>
  <si>
    <t>MP-0146</t>
  </si>
  <si>
    <t>MP-0011</t>
  </si>
  <si>
    <t>MP-0148</t>
  </si>
  <si>
    <t>MP-0145</t>
  </si>
  <si>
    <t>MP-0139</t>
  </si>
  <si>
    <t>MP-0144</t>
  </si>
  <si>
    <t>PLANIFICADO HASTA 30/06</t>
  </si>
  <si>
    <t>SIN PLANIFICACIÓN</t>
  </si>
  <si>
    <t>(en blanco)</t>
  </si>
  <si>
    <t>Etiquetas de fila</t>
  </si>
  <si>
    <t>Cuenta de Estado</t>
  </si>
  <si>
    <t>Cuenta de Nº</t>
  </si>
  <si>
    <t>(Todas)</t>
  </si>
  <si>
    <t>OTC</t>
  </si>
  <si>
    <t>PTP</t>
  </si>
  <si>
    <t>Número incidencia</t>
  </si>
  <si>
    <t>Mes apertura</t>
  </si>
  <si>
    <t>Mes resolución</t>
  </si>
  <si>
    <t>Mes cierre</t>
  </si>
  <si>
    <t>Abiertas</t>
  </si>
  <si>
    <t>Realizadas</t>
  </si>
  <si>
    <t>Cerradas</t>
  </si>
  <si>
    <t>Entregadas</t>
  </si>
  <si>
    <t>Semana apertura</t>
  </si>
  <si>
    <t>Semana resolución</t>
  </si>
  <si>
    <t>Semana</t>
  </si>
  <si>
    <t>Tipo</t>
  </si>
  <si>
    <t>Bloqueante</t>
  </si>
  <si>
    <t>Error usuario</t>
  </si>
  <si>
    <t>Incidencias totales</t>
  </si>
  <si>
    <t>Incidencias en curso</t>
  </si>
  <si>
    <t>Incidencias bloqueantes</t>
  </si>
  <si>
    <t>Errores de usuario</t>
  </si>
  <si>
    <t>Información para los combos rellenables del listado de incidencias. Actualizar responsables de cliente y propios al proyecto en concreto, y revisar el resto de puntos por si hubiese cambios.</t>
  </si>
  <si>
    <t>Resonsable EUR</t>
  </si>
  <si>
    <t>Responsable equipo Altim</t>
  </si>
  <si>
    <t>Key User</t>
  </si>
  <si>
    <t>Riesgo</t>
  </si>
  <si>
    <t>Tipologia</t>
  </si>
  <si>
    <t>Pais</t>
  </si>
  <si>
    <t>Motivo de Retraso</t>
  </si>
  <si>
    <t>S4/hana</t>
  </si>
  <si>
    <t>ADM</t>
  </si>
  <si>
    <t>Alto</t>
  </si>
  <si>
    <t>Procesos de EUROVAL</t>
  </si>
  <si>
    <t>ES</t>
  </si>
  <si>
    <t>Nuevos Requerimientos</t>
  </si>
  <si>
    <t>2Retrasada Altim</t>
  </si>
  <si>
    <t>Compras</t>
  </si>
  <si>
    <t>SGA</t>
  </si>
  <si>
    <t>Medio</t>
  </si>
  <si>
    <t>UATs #2 - Desde 21/01/2026 hasta Go-Live</t>
  </si>
  <si>
    <t xml:space="preserve">Análisis y Diseño funcional </t>
  </si>
  <si>
    <t>PT</t>
  </si>
  <si>
    <t>Error en planificación</t>
  </si>
  <si>
    <t>EUR</t>
  </si>
  <si>
    <t>Ventas</t>
  </si>
  <si>
    <t>Navision</t>
  </si>
  <si>
    <t>Bajo</t>
  </si>
  <si>
    <t xml:space="preserve">Configuración y desarrollos. </t>
  </si>
  <si>
    <t>Sin retraso</t>
  </si>
  <si>
    <t>4Pte Info EUR</t>
  </si>
  <si>
    <t>Control de gestión</t>
  </si>
  <si>
    <t xml:space="preserve">Interface </t>
  </si>
  <si>
    <t>N/A</t>
  </si>
  <si>
    <t xml:space="preserve">Calidad de Datos </t>
  </si>
  <si>
    <t>Falta Recurso del Área</t>
  </si>
  <si>
    <t>5Pte de Pruebas EUR</t>
  </si>
  <si>
    <t>Integraciones</t>
  </si>
  <si>
    <t>Problemas con el usuario</t>
  </si>
  <si>
    <t>6Retrasada EUR</t>
  </si>
  <si>
    <t>Fernando</t>
  </si>
  <si>
    <t>Formación.</t>
  </si>
  <si>
    <t>Revision por parte de MP</t>
  </si>
  <si>
    <t>7Parada por EUR</t>
  </si>
  <si>
    <t>Cambio de prioridad MP</t>
  </si>
  <si>
    <t>8Abierta</t>
  </si>
  <si>
    <t>Preventiva</t>
  </si>
  <si>
    <t>Retraso en el Trabajo Altim</t>
  </si>
  <si>
    <t>9Nueva</t>
  </si>
  <si>
    <t>92Descartada</t>
  </si>
  <si>
    <t>93Duplicada</t>
  </si>
  <si>
    <t>Etiquetas de columna</t>
  </si>
  <si>
    <t>4Pte Info MP</t>
  </si>
  <si>
    <t>5Pte de Pruebas MP</t>
  </si>
  <si>
    <t>7Parada por MP</t>
  </si>
  <si>
    <t>En proceso de construcción</t>
  </si>
  <si>
    <t xml:space="preserve">Se construye integración de vuelta de SAP a Aceuro con las modificaciones </t>
  </si>
  <si>
    <t>EUR0014</t>
  </si>
  <si>
    <t>La liquidación del anticipo no se reparte en la factura final F2 cuando
el cálculo del pedido es de tarifa</t>
  </si>
  <si>
    <t>EUR0015</t>
  </si>
  <si>
    <t>Se deben añadir dos campos nuevos en la integración de provisiones: 
Número único del TPV y vía de pago</t>
  </si>
  <si>
    <t>EUR0016</t>
  </si>
  <si>
    <t>Se necesita almacenar en la factura de compras la referencia de la
factura del tasador cuando es emitida por dicha persona</t>
  </si>
  <si>
    <t>Se hará el flujo natural de crear factura de compra con su correspondiente
apunte contable</t>
  </si>
  <si>
    <t>Cliente</t>
  </si>
  <si>
    <t>Responsable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</si>
</sst>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
    <numFmt numFmtId="165" formatCode="dd/mm/\y\y\y\y"/>
  </numFmts>
  <fonts count="24" x14ac:knownFonts="1">
    <font>
      <sz val="11"/>
      <color theme="1"/>
      <name val="Calibri"/>
      <family val="2"/>
      <scheme val="minor"/>
    </font>
    <font>
      <sz val="11"/>
      <color theme="1"/>
      <name val="Arial"/>
      <family val="2"/>
    </font>
    <font>
      <b/>
      <sz val="11"/>
      <color theme="1"/>
      <name val="Arial"/>
      <family val="2"/>
    </font>
    <font>
      <sz val="11"/>
      <name val="Arial"/>
      <family val="2"/>
    </font>
    <font>
      <sz val="11"/>
      <color indexed="8"/>
      <name val="Arial"/>
      <family val="2"/>
    </font>
    <font>
      <sz val="8"/>
      <name val="Calibri"/>
      <family val="2"/>
      <scheme val="minor"/>
    </font>
    <font>
      <sz val="9"/>
      <color indexed="81"/>
      <name val="Tahoma"/>
      <family val="2"/>
    </font>
    <font>
      <b/>
      <sz val="11"/>
      <color theme="0"/>
      <name val="Arial"/>
      <family val="2"/>
    </font>
    <font>
      <sz val="9"/>
      <name val="Arial"/>
      <family val="2"/>
    </font>
    <font>
      <b/>
      <sz val="9"/>
      <name val="Calibri"/>
      <family val="2"/>
      <scheme val="minor"/>
    </font>
    <font>
      <b/>
      <sz val="9"/>
      <name val="Arial"/>
      <family val="2"/>
    </font>
    <font>
      <strike/>
      <sz val="9"/>
      <name val="Arial"/>
      <family val="2"/>
    </font>
    <font>
      <sz val="10"/>
      <color rgb="FF000000"/>
      <name val="Arial"/>
      <family val="2"/>
    </font>
    <font>
      <b/>
      <sz val="10"/>
      <color rgb="FFFFFFFF"/>
      <name val="Arial"/>
      <family val="2"/>
    </font>
    <font>
      <sz val="10"/>
      <name val="Arial"/>
      <family val="2"/>
    </font>
    <font>
      <b/>
      <sz val="10"/>
      <name val="Calibri"/>
      <family val="2"/>
      <scheme val="minor"/>
    </font>
    <font>
      <b/>
      <sz val="10"/>
      <color theme="1"/>
      <name val="Calibri"/>
      <family val="2"/>
      <scheme val="minor"/>
    </font>
    <font>
      <sz val="10"/>
      <name val="Aptos"/>
      <family val="2"/>
    </font>
    <font>
      <sz val="11"/>
      <name val="Calibri"/>
      <family val="2"/>
      <scheme val="minor"/>
    </font>
    <font>
      <sz val="9"/>
      <color rgb="FF000000"/>
      <name val="Calibri"/>
      <family val="2"/>
      <scheme val="minor"/>
    </font>
    <font>
      <sz val="8"/>
      <name val="Arial"/>
      <family val="2"/>
    </font>
    <font>
      <b/>
      <sz val="8"/>
      <name val="Calibri"/>
      <family val="2"/>
      <scheme val="minor"/>
    </font>
    <font>
      <b/>
      <sz val="8"/>
      <name val="Arial"/>
      <family val="2"/>
    </font>
    <font>
      <sz val="11"/>
      <color theme="1"/>
      <name val="Arial"/>
      <family val="2"/>
    </font>
  </fonts>
  <fills count="15">
    <fill>
      <patternFill patternType="none"/>
    </fill>
    <fill>
      <patternFill patternType="gray125"/>
    </fill>
    <fill>
      <patternFill patternType="solid">
        <fgColor theme="6" tint="0.39997558519241921"/>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6"/>
        <bgColor theme="6"/>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9"/>
        <bgColor theme="9"/>
      </patternFill>
    </fill>
    <fill>
      <patternFill patternType="solid">
        <fgColor theme="0" tint="-0.14999847407452621"/>
        <bgColor indexed="64"/>
      </patternFill>
    </fill>
    <fill>
      <patternFill patternType="solid">
        <fgColor rgb="FFFFE697"/>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style="thin">
        <color indexed="64"/>
      </left>
      <right style="thin">
        <color indexed="64"/>
      </right>
      <top/>
      <bottom style="thin">
        <color indexed="64"/>
      </bottom>
      <diagonal/>
    </border>
    <border>
      <left/>
      <right/>
      <top/>
      <bottom style="thin">
        <color rgb="FF000000"/>
      </bottom>
      <diagonal/>
    </border>
    <border>
      <left/>
      <right/>
      <top style="medium">
        <color theme="6" tint="-0.249977111117893"/>
      </top>
      <bottom/>
      <diagonal/>
    </border>
    <border>
      <left/>
      <right style="thin">
        <color theme="6"/>
      </right>
      <top style="thin">
        <color theme="6"/>
      </top>
      <bottom/>
      <diagonal/>
    </border>
    <border>
      <left style="medium">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theme="9"/>
      </top>
      <bottom/>
      <diagonal/>
    </border>
    <border>
      <left/>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2" fillId="0" borderId="0"/>
  </cellStyleXfs>
  <cellXfs count="211">
    <xf numFmtId="0" fontId="0" fillId="0" borderId="0" xfId="0"/>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0" fontId="1" fillId="0" borderId="1" xfId="0" applyFont="1" applyBorder="1" applyAlignment="1">
      <alignment vertical="center" wrapText="1"/>
    </xf>
    <xf numFmtId="0" fontId="1" fillId="0" borderId="1" xfId="0" applyFont="1" applyBorder="1" applyAlignment="1">
      <alignment wrapText="1"/>
    </xf>
    <xf numFmtId="0" fontId="2" fillId="4"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0" borderId="0" xfId="0" applyFont="1"/>
    <xf numFmtId="0" fontId="1" fillId="0" borderId="1" xfId="0" applyFont="1" applyBorder="1"/>
    <xf numFmtId="0" fontId="1" fillId="0" borderId="0" xfId="0" pivotButton="1" applyFont="1"/>
    <xf numFmtId="16" fontId="1" fillId="0" borderId="0" xfId="0" applyNumberFormat="1" applyFont="1"/>
    <xf numFmtId="0" fontId="1" fillId="0" borderId="0" xfId="0" applyFont="1" applyAlignment="1">
      <alignment horizontal="left"/>
    </xf>
    <xf numFmtId="14" fontId="1" fillId="0" borderId="0" xfId="0" applyNumberFormat="1" applyFont="1" applyAlignment="1">
      <alignment horizontal="left" wrapText="1"/>
    </xf>
    <xf numFmtId="14" fontId="1" fillId="0" borderId="0" xfId="0" applyNumberFormat="1" applyFont="1" applyAlignment="1">
      <alignment horizontal="right"/>
    </xf>
    <xf numFmtId="14" fontId="7" fillId="5" borderId="6" xfId="0" applyNumberFormat="1" applyFont="1" applyFill="1" applyBorder="1" applyAlignment="1">
      <alignment horizontal="left" wrapText="1"/>
    </xf>
    <xf numFmtId="1" fontId="1" fillId="0" borderId="0" xfId="0" applyNumberFormat="1" applyFont="1" applyAlignment="1">
      <alignment horizontal="left"/>
    </xf>
    <xf numFmtId="16" fontId="1" fillId="0" borderId="1" xfId="0" applyNumberFormat="1" applyFont="1" applyBorder="1"/>
    <xf numFmtId="1" fontId="1" fillId="0" borderId="0" xfId="0" applyNumberFormat="1" applyFont="1"/>
    <xf numFmtId="1" fontId="1" fillId="0" borderId="2" xfId="0" applyNumberFormat="1" applyFont="1" applyBorder="1" applyAlignment="1">
      <alignment horizontal="left"/>
    </xf>
    <xf numFmtId="10" fontId="1" fillId="0" borderId="0" xfId="0" applyNumberFormat="1" applyFont="1"/>
    <xf numFmtId="0" fontId="2" fillId="4" borderId="7" xfId="0" applyFont="1" applyFill="1" applyBorder="1" applyAlignment="1">
      <alignment horizontal="center" vertical="center" wrapText="1"/>
    </xf>
    <xf numFmtId="14" fontId="4" fillId="0" borderId="1" xfId="0" applyNumberFormat="1" applyFont="1" applyBorder="1" applyAlignment="1">
      <alignment horizontal="left" vertical="center"/>
    </xf>
    <xf numFmtId="0" fontId="1" fillId="0" borderId="9" xfId="0" applyFont="1" applyBorder="1"/>
    <xf numFmtId="14" fontId="4" fillId="6" borderId="1" xfId="0" applyNumberFormat="1" applyFont="1" applyFill="1" applyBorder="1" applyAlignment="1">
      <alignment horizontal="left" vertical="center"/>
    </xf>
    <xf numFmtId="14" fontId="4" fillId="7" borderId="1" xfId="0" applyNumberFormat="1" applyFont="1" applyFill="1" applyBorder="1" applyAlignment="1">
      <alignment horizontal="left" vertical="center"/>
    </xf>
    <xf numFmtId="14" fontId="4" fillId="8" borderId="1" xfId="0" applyNumberFormat="1" applyFont="1" applyFill="1" applyBorder="1" applyAlignment="1">
      <alignment horizontal="left" vertical="center"/>
    </xf>
    <xf numFmtId="0" fontId="0" fillId="0" borderId="1" xfId="0" applyBorder="1"/>
    <xf numFmtId="0" fontId="2" fillId="4" borderId="10"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1" fillId="0" borderId="11" xfId="0" applyFont="1" applyBorder="1" applyAlignment="1">
      <alignment wrapText="1"/>
    </xf>
    <xf numFmtId="0" fontId="1" fillId="0" borderId="14" xfId="0" applyFont="1" applyBorder="1" applyAlignment="1">
      <alignment wrapText="1"/>
    </xf>
    <xf numFmtId="0" fontId="1" fillId="0" borderId="12" xfId="0" applyFont="1" applyBorder="1" applyAlignment="1">
      <alignment wrapText="1"/>
    </xf>
    <xf numFmtId="0" fontId="1" fillId="0" borderId="15" xfId="0" applyFont="1" applyBorder="1" applyAlignment="1">
      <alignment wrapText="1"/>
    </xf>
    <xf numFmtId="0" fontId="8" fillId="0" borderId="0" xfId="0" applyFont="1" applyAlignment="1">
      <alignment horizontal="left" vertical="top" wrapText="1"/>
    </xf>
    <xf numFmtId="0" fontId="8" fillId="0" borderId="0" xfId="0" applyFont="1" applyAlignment="1">
      <alignment vertical="top"/>
    </xf>
    <xf numFmtId="0" fontId="9" fillId="0" borderId="0" xfId="0" applyFont="1" applyAlignment="1">
      <alignment vertical="top" wrapText="1"/>
    </xf>
    <xf numFmtId="0" fontId="9" fillId="0" borderId="0" xfId="0" applyFont="1" applyAlignment="1">
      <alignment vertical="top"/>
    </xf>
    <xf numFmtId="0" fontId="13" fillId="9" borderId="16" xfId="1" applyFont="1" applyFill="1" applyBorder="1"/>
    <xf numFmtId="0" fontId="14" fillId="0" borderId="16" xfId="0" applyFont="1" applyBorder="1"/>
    <xf numFmtId="0" fontId="14" fillId="0" borderId="16" xfId="1" applyFont="1" applyBorder="1"/>
    <xf numFmtId="0" fontId="0" fillId="0" borderId="0" xfId="0" pivotButton="1"/>
    <xf numFmtId="0" fontId="0" fillId="0" borderId="0" xfId="0" applyAlignment="1">
      <alignment horizontal="left"/>
    </xf>
    <xf numFmtId="0" fontId="2" fillId="4" borderId="18" xfId="0" applyFont="1" applyFill="1" applyBorder="1" applyAlignment="1">
      <alignment horizontal="center" vertical="center" wrapText="1"/>
    </xf>
    <xf numFmtId="0" fontId="1" fillId="0" borderId="19" xfId="0" applyFont="1" applyBorder="1" applyAlignment="1">
      <alignment wrapText="1"/>
    </xf>
    <xf numFmtId="0" fontId="1" fillId="0" borderId="17" xfId="0" applyFont="1" applyBorder="1" applyAlignment="1">
      <alignment wrapText="1"/>
    </xf>
    <xf numFmtId="1" fontId="8" fillId="0" borderId="11" xfId="0" applyNumberFormat="1" applyFont="1" applyBorder="1" applyAlignment="1">
      <alignment vertical="top" wrapText="1"/>
    </xf>
    <xf numFmtId="14" fontId="8" fillId="0" borderId="1" xfId="0" applyNumberFormat="1"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vertical="top"/>
    </xf>
    <xf numFmtId="14" fontId="10" fillId="0" borderId="1" xfId="0" applyNumberFormat="1" applyFont="1" applyBorder="1" applyAlignment="1">
      <alignment vertical="top" wrapText="1"/>
    </xf>
    <xf numFmtId="1" fontId="8" fillId="0" borderId="1" xfId="0" applyNumberFormat="1" applyFont="1" applyBorder="1" applyAlignment="1">
      <alignment vertical="top" wrapText="1"/>
    </xf>
    <xf numFmtId="0" fontId="8" fillId="0" borderId="0" xfId="0" applyFont="1" applyAlignment="1">
      <alignment vertical="top" wrapText="1"/>
    </xf>
    <xf numFmtId="14" fontId="8" fillId="0" borderId="1" xfId="0" applyNumberFormat="1" applyFont="1" applyBorder="1" applyAlignment="1">
      <alignment vertical="top"/>
    </xf>
    <xf numFmtId="14" fontId="10" fillId="0" borderId="1" xfId="0" applyNumberFormat="1" applyFont="1" applyBorder="1" applyAlignment="1">
      <alignment vertical="top"/>
    </xf>
    <xf numFmtId="1" fontId="8" fillId="0" borderId="11" xfId="0" applyNumberFormat="1" applyFont="1" applyBorder="1" applyAlignment="1">
      <alignment vertical="top"/>
    </xf>
    <xf numFmtId="0" fontId="8" fillId="0" borderId="1" xfId="0" applyFont="1" applyBorder="1" applyAlignment="1">
      <alignment vertical="top" wrapText="1" readingOrder="1"/>
    </xf>
    <xf numFmtId="1" fontId="8" fillId="0" borderId="12" xfId="0" applyNumberFormat="1" applyFont="1" applyBorder="1" applyAlignment="1">
      <alignment vertical="top"/>
    </xf>
    <xf numFmtId="0" fontId="8" fillId="0" borderId="21" xfId="0" applyFont="1" applyBorder="1" applyAlignment="1">
      <alignment vertical="top" wrapText="1"/>
    </xf>
    <xf numFmtId="14" fontId="8" fillId="0" borderId="21" xfId="0" applyNumberFormat="1" applyFont="1" applyBorder="1" applyAlignment="1">
      <alignment vertical="top"/>
    </xf>
    <xf numFmtId="0" fontId="8" fillId="0" borderId="21" xfId="0" applyFont="1" applyBorder="1" applyAlignment="1">
      <alignment vertical="top"/>
    </xf>
    <xf numFmtId="0" fontId="8" fillId="0" borderId="9" xfId="0" applyFont="1" applyBorder="1" applyAlignment="1">
      <alignment vertical="top" wrapText="1"/>
    </xf>
    <xf numFmtId="0" fontId="8" fillId="0" borderId="14" xfId="0" applyFont="1" applyBorder="1" applyAlignment="1">
      <alignment vertical="top" wrapText="1"/>
    </xf>
    <xf numFmtId="0" fontId="8" fillId="0" borderId="15" xfId="0" applyFont="1" applyBorder="1" applyAlignment="1">
      <alignment vertical="top" wrapText="1"/>
    </xf>
    <xf numFmtId="164" fontId="15" fillId="10" borderId="10" xfId="0" applyNumberFormat="1" applyFont="1" applyFill="1" applyBorder="1" applyAlignment="1">
      <alignment horizontal="left" vertical="top" wrapText="1"/>
    </xf>
    <xf numFmtId="0" fontId="15" fillId="10" borderId="20" xfId="0" applyFont="1" applyFill="1" applyBorder="1" applyAlignment="1">
      <alignment vertical="top" wrapText="1"/>
    </xf>
    <xf numFmtId="0" fontId="15" fillId="10" borderId="20" xfId="0" applyFont="1" applyFill="1" applyBorder="1" applyAlignment="1">
      <alignment horizontal="left" vertical="top" wrapText="1"/>
    </xf>
    <xf numFmtId="14" fontId="15" fillId="10" borderId="20" xfId="0" applyNumberFormat="1" applyFont="1" applyFill="1" applyBorder="1" applyAlignment="1">
      <alignment horizontal="right" vertical="top" wrapText="1"/>
    </xf>
    <xf numFmtId="1" fontId="8" fillId="0" borderId="24" xfId="0" applyNumberFormat="1" applyFont="1" applyBorder="1" applyAlignment="1">
      <alignment vertical="top" wrapText="1"/>
    </xf>
    <xf numFmtId="0" fontId="8" fillId="0" borderId="22"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wrapText="1"/>
    </xf>
    <xf numFmtId="0" fontId="8" fillId="0" borderId="25" xfId="0" applyFont="1" applyBorder="1" applyAlignment="1">
      <alignment vertical="top" wrapText="1"/>
    </xf>
    <xf numFmtId="14" fontId="10" fillId="0" borderId="22" xfId="0" applyNumberFormat="1" applyFont="1" applyBorder="1" applyAlignment="1">
      <alignment vertical="top" wrapText="1"/>
    </xf>
    <xf numFmtId="14" fontId="10" fillId="0" borderId="22" xfId="0" applyNumberFormat="1" applyFont="1" applyBorder="1" applyAlignment="1">
      <alignment vertical="top"/>
    </xf>
    <xf numFmtId="14" fontId="8" fillId="0" borderId="22" xfId="0" applyNumberFormat="1" applyFont="1" applyBorder="1" applyAlignment="1">
      <alignment vertical="top"/>
    </xf>
    <xf numFmtId="1" fontId="8" fillId="0" borderId="24" xfId="0" applyNumberFormat="1" applyFont="1" applyBorder="1" applyAlignment="1">
      <alignment vertical="top"/>
    </xf>
    <xf numFmtId="1" fontId="8" fillId="0" borderId="26" xfId="0" applyNumberFormat="1" applyFont="1" applyBorder="1" applyAlignment="1">
      <alignment vertical="top" wrapText="1"/>
    </xf>
    <xf numFmtId="0" fontId="8" fillId="0" borderId="3" xfId="0" applyFont="1" applyBorder="1" applyAlignment="1">
      <alignment vertical="top" wrapText="1"/>
    </xf>
    <xf numFmtId="14" fontId="8" fillId="0" borderId="3" xfId="0" applyNumberFormat="1" applyFont="1" applyBorder="1" applyAlignment="1">
      <alignment vertical="top" wrapText="1"/>
    </xf>
    <xf numFmtId="0" fontId="8" fillId="0" borderId="23" xfId="0" applyFont="1" applyBorder="1" applyAlignment="1">
      <alignment vertical="top" wrapText="1"/>
    </xf>
    <xf numFmtId="1" fontId="8" fillId="0" borderId="27" xfId="0" applyNumberFormat="1" applyFont="1" applyBorder="1" applyAlignment="1">
      <alignment vertical="top" wrapText="1"/>
    </xf>
    <xf numFmtId="0" fontId="8" fillId="0" borderId="9" xfId="0" applyFont="1" applyBorder="1" applyAlignment="1">
      <alignment vertical="top"/>
    </xf>
    <xf numFmtId="14" fontId="10" fillId="0" borderId="9" xfId="0" applyNumberFormat="1" applyFont="1" applyBorder="1" applyAlignment="1">
      <alignment vertical="top" wrapText="1"/>
    </xf>
    <xf numFmtId="0" fontId="8" fillId="0" borderId="28" xfId="0" applyFont="1" applyBorder="1" applyAlignment="1">
      <alignment vertical="top" wrapText="1"/>
    </xf>
    <xf numFmtId="0" fontId="8" fillId="0" borderId="3" xfId="0" applyFont="1" applyBorder="1" applyAlignment="1">
      <alignment vertical="top"/>
    </xf>
    <xf numFmtId="14" fontId="10" fillId="0" borderId="3" xfId="0" applyNumberFormat="1" applyFont="1" applyBorder="1" applyAlignment="1">
      <alignment vertical="top"/>
    </xf>
    <xf numFmtId="14" fontId="8" fillId="0" borderId="3" xfId="0" applyNumberFormat="1" applyFont="1" applyBorder="1" applyAlignment="1">
      <alignment vertical="top"/>
    </xf>
    <xf numFmtId="1" fontId="8" fillId="0" borderId="26" xfId="0" applyNumberFormat="1" applyFont="1" applyBorder="1" applyAlignment="1">
      <alignment vertical="top"/>
    </xf>
    <xf numFmtId="1" fontId="8" fillId="0" borderId="27" xfId="0" applyNumberFormat="1" applyFont="1" applyBorder="1" applyAlignment="1">
      <alignment vertical="top"/>
    </xf>
    <xf numFmtId="14" fontId="10" fillId="0" borderId="9" xfId="0" applyNumberFormat="1" applyFont="1" applyBorder="1" applyAlignment="1">
      <alignment vertical="top"/>
    </xf>
    <xf numFmtId="14" fontId="10" fillId="0" borderId="3" xfId="0" applyNumberFormat="1" applyFont="1" applyBorder="1" applyAlignment="1">
      <alignment vertical="top" wrapText="1"/>
    </xf>
    <xf numFmtId="1" fontId="8" fillId="0" borderId="12" xfId="0" applyNumberFormat="1" applyFont="1" applyBorder="1" applyAlignment="1">
      <alignment vertical="top" wrapText="1"/>
    </xf>
    <xf numFmtId="14" fontId="10" fillId="0" borderId="21" xfId="0" applyNumberFormat="1" applyFont="1" applyBorder="1" applyAlignment="1">
      <alignment vertical="top" wrapText="1"/>
    </xf>
    <xf numFmtId="1" fontId="8" fillId="0" borderId="10" xfId="0" applyNumberFormat="1" applyFont="1" applyBorder="1" applyAlignment="1">
      <alignment vertical="top" wrapText="1"/>
    </xf>
    <xf numFmtId="0" fontId="8" fillId="0" borderId="20" xfId="0" applyFont="1" applyBorder="1" applyAlignment="1">
      <alignment vertical="top" wrapText="1"/>
    </xf>
    <xf numFmtId="0" fontId="8" fillId="0" borderId="20" xfId="0" applyFont="1" applyBorder="1" applyAlignment="1">
      <alignment vertical="top"/>
    </xf>
    <xf numFmtId="14" fontId="10" fillId="0" borderId="20" xfId="0" applyNumberFormat="1" applyFont="1" applyBorder="1" applyAlignment="1">
      <alignment vertical="top" wrapText="1"/>
    </xf>
    <xf numFmtId="0" fontId="8" fillId="0" borderId="13" xfId="0" applyFont="1" applyBorder="1" applyAlignment="1">
      <alignment vertical="top" wrapText="1"/>
    </xf>
    <xf numFmtId="1" fontId="8" fillId="0" borderId="29" xfId="0" applyNumberFormat="1" applyFont="1" applyBorder="1" applyAlignment="1">
      <alignment vertical="top" wrapText="1"/>
    </xf>
    <xf numFmtId="0" fontId="8" fillId="0" borderId="30" xfId="0" applyFont="1" applyBorder="1" applyAlignment="1">
      <alignment vertical="top" wrapText="1"/>
    </xf>
    <xf numFmtId="14" fontId="8" fillId="0" borderId="30" xfId="0" applyNumberFormat="1" applyFont="1" applyBorder="1" applyAlignment="1">
      <alignment vertical="top" wrapText="1"/>
    </xf>
    <xf numFmtId="0" fontId="8" fillId="0" borderId="31" xfId="0" applyFont="1" applyBorder="1" applyAlignment="1">
      <alignment vertical="top" wrapText="1"/>
    </xf>
    <xf numFmtId="14" fontId="8" fillId="0" borderId="30" xfId="0" applyNumberFormat="1" applyFont="1" applyBorder="1" applyAlignment="1">
      <alignment vertical="top"/>
    </xf>
    <xf numFmtId="0" fontId="8" fillId="0" borderId="30" xfId="0" applyFont="1" applyBorder="1" applyAlignment="1">
      <alignment vertical="top"/>
    </xf>
    <xf numFmtId="1" fontId="8" fillId="0" borderId="29" xfId="0" applyNumberFormat="1" applyFont="1" applyBorder="1" applyAlignment="1">
      <alignment vertical="top"/>
    </xf>
    <xf numFmtId="1" fontId="8" fillId="0" borderId="10" xfId="0" applyNumberFormat="1" applyFont="1" applyBorder="1" applyAlignment="1">
      <alignment vertical="top"/>
    </xf>
    <xf numFmtId="14" fontId="10" fillId="0" borderId="20" xfId="0" applyNumberFormat="1" applyFont="1" applyBorder="1" applyAlignment="1">
      <alignment vertical="top"/>
    </xf>
    <xf numFmtId="0" fontId="16" fillId="10" borderId="20" xfId="0" applyFont="1" applyFill="1" applyBorder="1" applyAlignment="1">
      <alignment wrapText="1"/>
    </xf>
    <xf numFmtId="0" fontId="16" fillId="10" borderId="20" xfId="0" applyFont="1" applyFill="1" applyBorder="1" applyAlignment="1">
      <alignment horizontal="left" vertical="top" wrapText="1"/>
    </xf>
    <xf numFmtId="0" fontId="16" fillId="10" borderId="13" xfId="0" applyFont="1" applyFill="1" applyBorder="1" applyAlignment="1">
      <alignment horizontal="left" vertical="top" wrapText="1"/>
    </xf>
    <xf numFmtId="0" fontId="0" fillId="0" borderId="0" xfId="0" applyAlignment="1">
      <alignment horizontal="left" vertical="top"/>
    </xf>
    <xf numFmtId="0" fontId="14" fillId="0" borderId="16" xfId="1" applyFont="1" applyBorder="1" applyAlignment="1">
      <alignment vertical="top"/>
    </xf>
    <xf numFmtId="0" fontId="0" fillId="0" borderId="16" xfId="0" applyBorder="1"/>
    <xf numFmtId="0" fontId="14" fillId="0" borderId="0" xfId="1" applyFont="1"/>
    <xf numFmtId="0" fontId="14" fillId="0" borderId="0" xfId="0" applyFont="1"/>
    <xf numFmtId="0" fontId="8" fillId="0" borderId="0" xfId="0" applyFont="1" applyAlignment="1">
      <alignment horizontal="center" vertical="top" wrapText="1"/>
    </xf>
    <xf numFmtId="0" fontId="2" fillId="4" borderId="0" xfId="0" applyFont="1" applyFill="1" applyAlignment="1">
      <alignment horizontal="center" vertical="center" wrapText="1"/>
    </xf>
    <xf numFmtId="0" fontId="0" fillId="0" borderId="0" xfId="0" applyAlignment="1">
      <alignment wrapText="1"/>
    </xf>
    <xf numFmtId="0" fontId="7" fillId="5" borderId="10" xfId="0" applyFont="1" applyFill="1" applyBorder="1"/>
    <xf numFmtId="14" fontId="7" fillId="5" borderId="20" xfId="0" applyNumberFormat="1" applyFont="1" applyFill="1" applyBorder="1"/>
    <xf numFmtId="14" fontId="7" fillId="5" borderId="13" xfId="0" applyNumberFormat="1" applyFont="1" applyFill="1" applyBorder="1"/>
    <xf numFmtId="0" fontId="0" fillId="0" borderId="0" xfId="0" applyAlignment="1">
      <alignment horizontal="right"/>
    </xf>
    <xf numFmtId="0" fontId="1" fillId="0" borderId="11" xfId="0" applyFont="1" applyBorder="1" applyAlignment="1">
      <alignment vertical="top"/>
    </xf>
    <xf numFmtId="0" fontId="1" fillId="0" borderId="1" xfId="0" applyFont="1" applyBorder="1" applyAlignment="1">
      <alignment vertical="top"/>
    </xf>
    <xf numFmtId="0" fontId="1" fillId="0" borderId="14" xfId="0" applyFont="1" applyBorder="1" applyAlignment="1">
      <alignment vertical="top"/>
    </xf>
    <xf numFmtId="0" fontId="0" fillId="0" borderId="0" xfId="0" applyAlignment="1">
      <alignment vertical="top"/>
    </xf>
    <xf numFmtId="0" fontId="1" fillId="0" borderId="11" xfId="0" applyFont="1" applyBorder="1" applyAlignment="1">
      <alignment horizontal="left" vertical="top" wrapText="1"/>
    </xf>
    <xf numFmtId="0" fontId="1" fillId="0" borderId="11" xfId="0" applyFont="1" applyBorder="1" applyAlignment="1">
      <alignment horizontal="left" vertical="top"/>
    </xf>
    <xf numFmtId="0" fontId="1" fillId="0" borderId="1" xfId="0" applyFont="1" applyBorder="1" applyAlignment="1">
      <alignment horizontal="right" vertical="top"/>
    </xf>
    <xf numFmtId="0" fontId="1" fillId="0" borderId="14" xfId="0" applyFont="1" applyBorder="1" applyAlignment="1">
      <alignment horizontal="right" vertical="top"/>
    </xf>
    <xf numFmtId="0" fontId="0" fillId="0" borderId="0" xfId="0" applyAlignment="1">
      <alignment vertical="top" wrapText="1"/>
    </xf>
    <xf numFmtId="0" fontId="1" fillId="0" borderId="24" xfId="0" applyFont="1" applyBorder="1" applyAlignment="1">
      <alignment horizontal="left" vertical="top"/>
    </xf>
    <xf numFmtId="0" fontId="1" fillId="0" borderId="22" xfId="0" applyFont="1" applyBorder="1" applyAlignment="1">
      <alignment horizontal="right" vertical="top"/>
    </xf>
    <xf numFmtId="0" fontId="1" fillId="0" borderId="25" xfId="0" applyFont="1" applyBorder="1" applyAlignment="1">
      <alignment horizontal="right" vertical="top"/>
    </xf>
    <xf numFmtId="0" fontId="2" fillId="0" borderId="33" xfId="0" applyFont="1" applyBorder="1" applyAlignment="1">
      <alignment vertical="top" wrapText="1"/>
    </xf>
    <xf numFmtId="0" fontId="2" fillId="0" borderId="34" xfId="0" applyFont="1" applyBorder="1" applyAlignment="1">
      <alignment vertical="top"/>
    </xf>
    <xf numFmtId="0" fontId="1" fillId="0" borderId="12" xfId="0" applyFont="1" applyBorder="1" applyAlignment="1">
      <alignment vertical="top"/>
    </xf>
    <xf numFmtId="0" fontId="1" fillId="0" borderId="21" xfId="0" applyFont="1" applyBorder="1" applyAlignment="1">
      <alignment vertical="top"/>
    </xf>
    <xf numFmtId="0" fontId="1" fillId="0" borderId="15" xfId="0" applyFont="1" applyBorder="1" applyAlignment="1">
      <alignment vertical="top"/>
    </xf>
    <xf numFmtId="0" fontId="2" fillId="0" borderId="32" xfId="0" applyFont="1" applyBorder="1" applyAlignment="1">
      <alignment vertical="top"/>
    </xf>
    <xf numFmtId="0" fontId="2" fillId="0" borderId="32" xfId="0" applyFont="1" applyBorder="1" applyAlignment="1">
      <alignment vertical="top" wrapText="1"/>
    </xf>
    <xf numFmtId="0" fontId="7" fillId="5" borderId="10" xfId="0" applyFont="1" applyFill="1" applyBorder="1" applyAlignment="1">
      <alignment wrapText="1"/>
    </xf>
    <xf numFmtId="0" fontId="1" fillId="0" borderId="12" xfId="0" applyFont="1" applyBorder="1" applyAlignment="1">
      <alignment horizontal="left" vertical="top" wrapText="1"/>
    </xf>
    <xf numFmtId="0" fontId="2" fillId="0" borderId="33" xfId="0" applyFont="1" applyBorder="1" applyAlignment="1">
      <alignment vertical="top"/>
    </xf>
    <xf numFmtId="0" fontId="12" fillId="0" borderId="0" xfId="1"/>
    <xf numFmtId="14" fontId="20" fillId="0" borderId="0" xfId="0" applyNumberFormat="1" applyFont="1" applyAlignment="1">
      <alignment horizontal="left" vertical="top" wrapText="1"/>
    </xf>
    <xf numFmtId="0" fontId="20" fillId="0" borderId="0" xfId="0" applyFont="1" applyAlignment="1">
      <alignment vertical="top" wrapText="1"/>
    </xf>
    <xf numFmtId="0" fontId="20" fillId="0" borderId="0" xfId="0" applyFont="1" applyAlignment="1">
      <alignment horizontal="left" vertical="top" wrapText="1"/>
    </xf>
    <xf numFmtId="14" fontId="20" fillId="0" borderId="0" xfId="0" applyNumberFormat="1" applyFont="1" applyAlignment="1">
      <alignment horizontal="right" vertical="top" wrapText="1"/>
    </xf>
    <xf numFmtId="14" fontId="20" fillId="0" borderId="0" xfId="0" applyNumberFormat="1" applyFont="1" applyAlignment="1">
      <alignment horizontal="left" vertical="top"/>
    </xf>
    <xf numFmtId="164" fontId="21" fillId="3" borderId="36" xfId="0" applyNumberFormat="1" applyFont="1" applyFill="1" applyBorder="1" applyAlignment="1">
      <alignment horizontal="left" vertical="top" wrapText="1"/>
    </xf>
    <xf numFmtId="14" fontId="21" fillId="3" borderId="3" xfId="0" applyNumberFormat="1" applyFont="1" applyFill="1" applyBorder="1" applyAlignment="1">
      <alignment horizontal="left" vertical="top" wrapText="1"/>
    </xf>
    <xf numFmtId="0" fontId="21" fillId="3" borderId="3" xfId="0" applyFont="1" applyFill="1" applyBorder="1" applyAlignment="1">
      <alignment vertical="top" wrapText="1"/>
    </xf>
    <xf numFmtId="0" fontId="9" fillId="3" borderId="3" xfId="0" applyFont="1" applyFill="1" applyBorder="1" applyAlignment="1">
      <alignment vertical="top" wrapText="1"/>
    </xf>
    <xf numFmtId="0" fontId="9" fillId="2" borderId="3" xfId="0" applyFont="1" applyFill="1" applyBorder="1" applyAlignment="1">
      <alignment horizontal="left" vertical="top" wrapText="1"/>
    </xf>
    <xf numFmtId="0" fontId="9" fillId="2" borderId="3" xfId="0" applyFont="1" applyFill="1" applyBorder="1" applyAlignment="1">
      <alignment vertical="top" wrapText="1"/>
    </xf>
    <xf numFmtId="0" fontId="21" fillId="2" borderId="3" xfId="0" applyFont="1" applyFill="1" applyBorder="1" applyAlignment="1">
      <alignment horizontal="left" vertical="top" wrapText="1"/>
    </xf>
    <xf numFmtId="14" fontId="21" fillId="2" borderId="3" xfId="0" applyNumberFormat="1" applyFont="1" applyFill="1" applyBorder="1" applyAlignment="1">
      <alignment horizontal="right" vertical="top" wrapText="1"/>
    </xf>
    <xf numFmtId="14" fontId="21" fillId="7" borderId="3" xfId="0" applyNumberFormat="1" applyFont="1" applyFill="1" applyBorder="1" applyAlignment="1">
      <alignment horizontal="left" vertical="top" wrapText="1"/>
    </xf>
    <xf numFmtId="14" fontId="10" fillId="2" borderId="37" xfId="0" applyNumberFormat="1" applyFont="1" applyFill="1" applyBorder="1" applyAlignment="1">
      <alignment vertical="top" wrapText="1"/>
    </xf>
    <xf numFmtId="14" fontId="20" fillId="0" borderId="1" xfId="0" applyNumberFormat="1" applyFont="1" applyBorder="1" applyAlignment="1">
      <alignment horizontal="right" vertical="top" wrapText="1"/>
    </xf>
    <xf numFmtId="14" fontId="20" fillId="0" borderId="1" xfId="0" applyNumberFormat="1" applyFont="1" applyBorder="1" applyAlignment="1">
      <alignment horizontal="right" vertical="top"/>
    </xf>
    <xf numFmtId="14" fontId="20" fillId="0" borderId="1" xfId="0" applyNumberFormat="1" applyFont="1" applyBorder="1" applyAlignment="1">
      <alignment vertical="top"/>
    </xf>
    <xf numFmtId="14" fontId="20" fillId="0" borderId="1" xfId="0" applyNumberFormat="1" applyFont="1" applyBorder="1" applyAlignment="1">
      <alignment vertical="top" wrapText="1"/>
    </xf>
    <xf numFmtId="165" fontId="8" fillId="0" borderId="38" xfId="0" applyNumberFormat="1" applyFont="1" applyBorder="1" applyAlignment="1">
      <alignment vertical="top" wrapText="1"/>
    </xf>
    <xf numFmtId="0" fontId="8" fillId="0" borderId="38" xfId="0" applyFont="1" applyBorder="1" applyAlignment="1">
      <alignment vertical="top" wrapText="1"/>
    </xf>
    <xf numFmtId="14" fontId="20" fillId="0" borderId="1" xfId="0" applyNumberFormat="1" applyFont="1" applyBorder="1" applyAlignment="1">
      <alignment horizontal="left" vertical="top"/>
    </xf>
    <xf numFmtId="0" fontId="11" fillId="0" borderId="0" xfId="0" applyFont="1" applyAlignment="1">
      <alignment vertical="top" wrapText="1"/>
    </xf>
    <xf numFmtId="0" fontId="11" fillId="0" borderId="4" xfId="0" applyFont="1" applyBorder="1" applyAlignment="1">
      <alignment vertical="top" wrapText="1"/>
    </xf>
    <xf numFmtId="165" fontId="8" fillId="0" borderId="38" xfId="0" applyNumberFormat="1" applyFont="1" applyBorder="1" applyAlignment="1">
      <alignment vertical="top"/>
    </xf>
    <xf numFmtId="14" fontId="20" fillId="11" borderId="1" xfId="0" applyNumberFormat="1" applyFont="1" applyFill="1" applyBorder="1" applyAlignment="1">
      <alignment horizontal="right" vertical="top" wrapText="1"/>
    </xf>
    <xf numFmtId="0" fontId="0" fillId="12" borderId="0" xfId="0" applyFill="1" applyAlignment="1">
      <alignment horizontal="left"/>
    </xf>
    <xf numFmtId="0" fontId="0" fillId="12" borderId="0" xfId="0" applyFill="1"/>
    <xf numFmtId="0" fontId="23" fillId="0" borderId="0" xfId="0" pivotButton="1" applyFont="1"/>
    <xf numFmtId="0" fontId="23" fillId="0" borderId="0" xfId="0" applyFont="1"/>
    <xf numFmtId="0" fontId="23" fillId="0" borderId="0" xfId="0" applyFont="1" applyAlignment="1">
      <alignment horizontal="left"/>
    </xf>
    <xf numFmtId="14" fontId="8" fillId="13" borderId="1" xfId="0" applyNumberFormat="1" applyFont="1" applyFill="1" applyBorder="1" applyAlignment="1">
      <alignment vertical="top" wrapText="1"/>
    </xf>
    <xf numFmtId="0" fontId="20" fillId="13" borderId="1" xfId="0" applyFont="1" applyFill="1" applyBorder="1" applyAlignment="1">
      <alignment vertical="top" wrapText="1"/>
    </xf>
    <xf numFmtId="0" fontId="8" fillId="13" borderId="1" xfId="0" applyFont="1" applyFill="1" applyBorder="1" applyAlignment="1">
      <alignment vertical="top"/>
    </xf>
    <xf numFmtId="0" fontId="8" fillId="13" borderId="1" xfId="0" applyFont="1" applyFill="1" applyBorder="1" applyAlignment="1">
      <alignment vertical="top" wrapText="1"/>
    </xf>
    <xf numFmtId="0" fontId="20" fillId="13" borderId="1" xfId="0" applyFont="1" applyFill="1" applyBorder="1" applyAlignment="1">
      <alignment vertical="top"/>
    </xf>
    <xf numFmtId="0" fontId="20" fillId="13"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19" fillId="13" borderId="1" xfId="0" applyFont="1" applyFill="1" applyBorder="1"/>
    <xf numFmtId="0" fontId="19" fillId="13" borderId="1" xfId="0" applyFont="1" applyFill="1" applyBorder="1" applyAlignment="1">
      <alignment wrapText="1"/>
    </xf>
    <xf numFmtId="14" fontId="20" fillId="14" borderId="1" xfId="0" applyNumberFormat="1" applyFont="1" applyFill="1" applyBorder="1" applyAlignment="1">
      <alignment horizontal="left" vertical="top" wrapText="1"/>
    </xf>
    <xf numFmtId="14" fontId="8" fillId="14" borderId="1" xfId="0" applyNumberFormat="1" applyFont="1" applyFill="1" applyBorder="1" applyAlignment="1">
      <alignment vertical="top" wrapText="1"/>
    </xf>
    <xf numFmtId="0" fontId="20" fillId="14" borderId="1" xfId="0" applyFont="1" applyFill="1" applyBorder="1" applyAlignment="1">
      <alignment vertical="top" wrapText="1"/>
    </xf>
    <xf numFmtId="0" fontId="8" fillId="14" borderId="1" xfId="0" applyFont="1" applyFill="1" applyBorder="1" applyAlignment="1">
      <alignment vertical="top"/>
    </xf>
    <xf numFmtId="0" fontId="8" fillId="14" borderId="1" xfId="0" applyFont="1" applyFill="1" applyBorder="1" applyAlignment="1">
      <alignment vertical="top" wrapText="1"/>
    </xf>
    <xf numFmtId="14" fontId="20" fillId="14" borderId="1" xfId="0" applyNumberFormat="1" applyFont="1" applyFill="1" applyBorder="1" applyAlignment="1">
      <alignment horizontal="left" vertical="top"/>
    </xf>
    <xf numFmtId="0" fontId="8" fillId="14" borderId="1" xfId="0" applyFont="1" applyFill="1" applyBorder="1" applyAlignment="1">
      <alignment horizontal="center" vertical="top" wrapText="1"/>
    </xf>
    <xf numFmtId="0" fontId="8" fillId="14" borderId="1" xfId="0" applyFont="1" applyFill="1" applyBorder="1" applyAlignment="1">
      <alignment horizontal="left" vertical="top" wrapText="1"/>
    </xf>
    <xf numFmtId="1" fontId="20" fillId="14" borderId="1" xfId="0" applyNumberFormat="1" applyFont="1" applyFill="1" applyBorder="1" applyAlignment="1">
      <alignment vertical="top" wrapText="1"/>
    </xf>
    <xf numFmtId="0" fontId="20" fillId="14" borderId="1" xfId="0" applyFont="1" applyFill="1" applyBorder="1" applyAlignment="1">
      <alignment vertical="top"/>
    </xf>
    <xf numFmtId="0" fontId="8" fillId="14" borderId="1" xfId="0" applyFont="1" applyFill="1" applyBorder="1" applyAlignment="1">
      <alignment vertical="top" wrapText="1" readingOrder="1"/>
    </xf>
    <xf numFmtId="0" fontId="17" fillId="14" borderId="1" xfId="0" applyFont="1" applyFill="1" applyBorder="1" applyAlignment="1">
      <alignment wrapText="1"/>
    </xf>
    <xf numFmtId="0" fontId="18" fillId="14" borderId="1" xfId="0" applyFont="1" applyFill="1" applyBorder="1" applyAlignment="1">
      <alignment wrapText="1"/>
    </xf>
    <xf numFmtId="0" fontId="19" fillId="14" borderId="1" xfId="0" applyFont="1" applyFill="1" applyBorder="1"/>
    <xf numFmtId="0" fontId="19" fillId="14" borderId="1" xfId="0" applyFont="1" applyFill="1" applyBorder="1" applyAlignment="1">
      <alignment wrapText="1"/>
    </xf>
    <xf numFmtId="0" fontId="22" fillId="0" borderId="0" xfId="0" applyFont="1" applyAlignment="1">
      <alignment horizontal="left" vertical="top"/>
    </xf>
    <xf numFmtId="1" fontId="22" fillId="14" borderId="35" xfId="0" applyNumberFormat="1" applyFont="1" applyFill="1" applyBorder="1" applyAlignment="1">
      <alignment vertical="top" wrapText="1"/>
    </xf>
    <xf numFmtId="1" fontId="22" fillId="14" borderId="35" xfId="0" applyNumberFormat="1" applyFont="1" applyFill="1" applyBorder="1" applyAlignment="1">
      <alignment vertical="top"/>
    </xf>
    <xf numFmtId="0" fontId="22" fillId="14" borderId="35" xfId="0" applyFont="1" applyFill="1" applyBorder="1" applyAlignment="1">
      <alignment horizontal="left" vertical="top"/>
    </xf>
    <xf numFmtId="0" fontId="22" fillId="14" borderId="35" xfId="0" applyFont="1" applyFill="1" applyBorder="1" applyAlignment="1">
      <alignment vertical="top"/>
    </xf>
    <xf numFmtId="14" fontId="22" fillId="14" borderId="35" xfId="0" applyNumberFormat="1" applyFont="1" applyFill="1" applyBorder="1" applyAlignment="1">
      <alignment horizontal="left" vertical="top" wrapText="1"/>
    </xf>
    <xf numFmtId="0" fontId="7" fillId="5" borderId="5" xfId="0" applyFont="1" applyFill="1" applyBorder="1" applyAlignment="1">
      <alignment horizontal="center"/>
    </xf>
    <xf numFmtId="0" fontId="2" fillId="2" borderId="8" xfId="0" applyFont="1" applyFill="1" applyBorder="1" applyAlignment="1">
      <alignment horizontal="center" vertical="center" wrapText="1"/>
    </xf>
    <xf numFmtId="0" fontId="2" fillId="2" borderId="0" xfId="0" applyFont="1" applyFill="1" applyAlignment="1">
      <alignment horizontal="center" vertical="center" wrapText="1"/>
    </xf>
    <xf numFmtId="0" fontId="11" fillId="0" borderId="1" xfId="0" applyFont="1" applyBorder="1" applyAlignment="1">
      <alignment vertical="top" wrapText="1"/>
    </xf>
  </cellXfs>
  <cellStyles count="2">
    <cellStyle name="Normal" xfId="0" builtinId="0"/>
    <cellStyle name="Normal 2 2" xfId="1" xr:uid="{16AC2739-877D-4AD0-9A5D-0BA97F7BB866}"/>
  </cellStyles>
  <dxfs count="9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patternType="solid">
          <bgColor theme="6" tint="0.79998168889431442"/>
        </patternFill>
      </fill>
    </dxf>
    <dxf>
      <fill>
        <patternFill patternType="solid">
          <bgColor theme="6" tint="0.79998168889431442"/>
        </patternFill>
      </fill>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border outline="0">
        <top style="thin">
          <color theme="9"/>
        </top>
      </border>
    </dxf>
    <dxf>
      <font>
        <strike val="0"/>
        <outline val="0"/>
        <shadow val="0"/>
        <u val="none"/>
        <vertAlign val="baseline"/>
        <sz val="11"/>
        <name val="Arial"/>
        <family val="2"/>
        <scheme val="none"/>
      </font>
    </dxf>
    <dxf>
      <font>
        <b/>
        <i val="0"/>
        <strike val="0"/>
        <condense val="0"/>
        <extend val="0"/>
        <outline val="0"/>
        <shadow val="0"/>
        <u val="none"/>
        <vertAlign val="baseline"/>
        <sz val="11"/>
        <color theme="0"/>
        <name val="Arial"/>
        <family val="2"/>
        <scheme val="none"/>
      </font>
      <numFmt numFmtId="19" formatCode="dd/mm/yyyy"/>
      <fill>
        <patternFill patternType="solid">
          <fgColor theme="6"/>
          <bgColor theme="6"/>
        </patternFill>
      </fill>
      <alignment horizontal="left" vertical="bottom" textRotation="0" wrapText="1" indent="0" justifyLastLine="0" shrinkToFit="0" readingOrder="0"/>
      <border diagonalUp="0" diagonalDown="0" outline="0">
        <left style="thin">
          <color theme="6"/>
        </left>
        <right style="thin">
          <color theme="6"/>
        </right>
        <top/>
        <bottom/>
      </border>
    </dxf>
    <dxf>
      <font>
        <strike val="0"/>
        <outline val="0"/>
        <shadow val="0"/>
        <u val="none"/>
        <vertAlign val="baseline"/>
        <sz val="11"/>
        <name val="Arial"/>
        <family val="2"/>
        <scheme val="none"/>
      </font>
      <numFmt numFmtId="1" formatCode="0"/>
      <alignment horizontal="left" vertical="bottom" textRotation="0" wrapText="0" indent="0" justifyLastLine="0" shrinkToFit="0" readingOrder="0"/>
    </dxf>
    <dxf>
      <font>
        <strike val="0"/>
        <outline val="0"/>
        <shadow val="0"/>
        <u val="none"/>
        <vertAlign val="baseline"/>
        <sz val="11"/>
        <name val="Arial"/>
        <family val="2"/>
        <scheme val="none"/>
      </font>
      <numFmt numFmtId="0" formatCode="General"/>
      <alignment horizontal="left" vertical="bottom" textRotation="0" indent="0" justifyLastLine="0" shrinkToFit="0" readingOrder="0"/>
    </dxf>
    <dxf>
      <font>
        <strike val="0"/>
        <outline val="0"/>
        <shadow val="0"/>
        <u val="none"/>
        <vertAlign val="baseline"/>
        <sz val="11"/>
        <name val="Arial"/>
        <family val="2"/>
        <scheme val="none"/>
      </font>
      <numFmt numFmtId="1" formatCode="0"/>
      <alignment horizontal="left" vertical="bottom" textRotation="0" indent="0" justifyLastLine="0" shrinkToFit="0" readingOrder="0"/>
    </dxf>
    <dxf>
      <font>
        <strike val="0"/>
        <outline val="0"/>
        <shadow val="0"/>
        <u val="none"/>
        <vertAlign val="baseline"/>
        <sz val="11"/>
        <name val="Arial"/>
        <family val="2"/>
        <scheme val="none"/>
      </font>
      <alignment horizontal="left" vertical="bottom" textRotation="0" indent="0" justifyLastLine="0" shrinkToFit="0" readingOrder="0"/>
    </dxf>
    <dxf>
      <font>
        <strike val="0"/>
        <outline val="0"/>
        <shadow val="0"/>
        <u val="none"/>
        <vertAlign val="baseline"/>
        <sz val="11"/>
        <name val="Arial"/>
        <family val="2"/>
        <scheme val="none"/>
      </font>
      <alignment horizontal="left" vertical="bottom" textRotation="0" indent="0" justifyLastLine="0" shrinkToFit="0" readingOrder="0"/>
    </dxf>
    <dxf>
      <font>
        <strike val="0"/>
        <outline val="0"/>
        <shadow val="0"/>
        <u val="none"/>
        <vertAlign val="baseline"/>
        <sz val="11"/>
        <name val="Arial"/>
        <family val="2"/>
        <scheme val="none"/>
      </font>
      <numFmt numFmtId="1" formatCode="0"/>
      <alignment horizontal="left" vertical="bottom" textRotation="0" wrapText="0" indent="0" justifyLastLine="0" shrinkToFit="0" readingOrder="0"/>
    </dxf>
    <dxf>
      <font>
        <strike val="0"/>
        <outline val="0"/>
        <shadow val="0"/>
        <u val="none"/>
        <vertAlign val="baseline"/>
        <sz val="11"/>
        <name val="Arial"/>
        <family val="2"/>
        <scheme val="none"/>
      </font>
      <numFmt numFmtId="0" formatCode="General"/>
      <alignment horizontal="left" vertical="bottom" textRotation="0" wrapText="0" indent="0" justifyLastLine="0" shrinkToFit="0" readingOrder="0"/>
    </dxf>
    <dxf>
      <font>
        <strike val="0"/>
        <outline val="0"/>
        <shadow val="0"/>
        <u val="none"/>
        <vertAlign val="baseline"/>
        <sz val="11"/>
        <name val="Arial"/>
        <family val="2"/>
        <scheme val="none"/>
      </font>
      <numFmt numFmtId="0" formatCode="General"/>
      <alignment horizontal="left" vertical="bottom" textRotation="0" indent="0" justifyLastLine="0" shrinkToFit="0" readingOrder="0"/>
    </dxf>
    <dxf>
      <font>
        <strike val="0"/>
        <outline val="0"/>
        <shadow val="0"/>
        <u val="none"/>
        <vertAlign val="baseline"/>
        <sz val="11"/>
        <name val="Arial"/>
        <family val="2"/>
        <scheme val="none"/>
      </font>
      <numFmt numFmtId="1" formatCode="0"/>
      <alignment horizontal="left" vertical="bottom" textRotation="0" indent="0" justifyLastLine="0" shrinkToFit="0" readingOrder="0"/>
    </dxf>
    <dxf>
      <font>
        <strike val="0"/>
        <outline val="0"/>
        <shadow val="0"/>
        <u val="none"/>
        <vertAlign val="baseline"/>
        <sz val="11"/>
        <name val="Arial"/>
        <family val="2"/>
        <scheme val="none"/>
      </font>
      <alignment horizontal="left" vertical="bottom" textRotation="0" indent="0" justifyLastLine="0" shrinkToFit="0" readingOrder="0"/>
    </dxf>
    <dxf>
      <font>
        <strike val="0"/>
        <outline val="0"/>
        <shadow val="0"/>
        <u val="none"/>
        <vertAlign val="baseline"/>
        <sz val="11"/>
        <name val="Arial"/>
        <family val="2"/>
        <scheme val="none"/>
      </font>
      <alignment horizontal="left" vertical="bottom" textRotation="0" indent="0" justifyLastLine="0" shrinkToFit="0" readingOrder="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top/>
        <bottom/>
        <vertical style="thin">
          <color indexed="64"/>
        </vertical>
        <horizontal style="thin">
          <color indexed="64"/>
        </horizontal>
      </border>
    </dxf>
    <dxf>
      <font>
        <b val="0"/>
        <outline val="0"/>
        <shadow val="0"/>
        <u val="none"/>
        <vertAlign val="baseline"/>
        <sz val="9"/>
        <color auto="1"/>
        <name val="Arial"/>
        <family val="2"/>
        <scheme val="none"/>
      </font>
      <numFmt numFmtId="165" formatCode="dd/mm/\y\y\y\y"/>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family val="2"/>
        <scheme val="none"/>
      </font>
      <numFmt numFmtId="19" formatCode="dd/mm/yyyy"/>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family val="2"/>
        <scheme val="none"/>
      </font>
      <numFmt numFmtId="19" formatCode="dd/mm/yyyy"/>
      <fill>
        <patternFill patternType="none">
          <fgColor indexed="64"/>
          <bgColor auto="1"/>
        </patternFill>
      </fill>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family val="2"/>
        <scheme val="none"/>
      </font>
      <numFmt numFmtId="19" formatCode="dd/mm/yyyy"/>
      <fill>
        <patternFill patternType="none">
          <fgColor indexed="64"/>
          <bgColor auto="1"/>
        </patternFill>
      </fill>
      <alignment horizontal="righ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theme="9"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family val="2"/>
        <scheme val="none"/>
      </font>
      <fill>
        <patternFill patternType="none">
          <fgColor indexed="64"/>
          <bgColor theme="9"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none">
          <fgColor indexed="64"/>
          <bgColor theme="9"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none">
          <fgColor indexed="64"/>
          <bgColor theme="9"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rial"/>
        <family val="2"/>
        <scheme val="none"/>
      </font>
      <fill>
        <patternFill patternType="solid">
          <fgColor indexed="64"/>
          <bgColor theme="4" tint="0.7999816888943144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rial"/>
        <family val="2"/>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rial"/>
        <family val="2"/>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rial"/>
        <family val="2"/>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9"/>
        <color auto="1"/>
        <name val="Arial"/>
        <family val="2"/>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family val="2"/>
        <scheme val="none"/>
      </font>
      <fill>
        <patternFill patternType="solid">
          <fgColor indexed="64"/>
          <bgColor theme="4"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family val="2"/>
        <scheme val="none"/>
      </font>
      <numFmt numFmtId="19" formatCode="dd/mm/yyyy"/>
      <fill>
        <patternFill patternType="solid">
          <fgColor indexed="64"/>
          <bgColor theme="4" tint="0.7999816888943144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alignment horizontal="general" vertical="top" textRotation="0" wrapText="0" indent="0" justifyLastLine="0" shrinkToFit="0" readingOrder="0"/>
      <border diagonalUp="0" diagonalDown="0">
        <left/>
        <right style="thin">
          <color indexed="64"/>
        </right>
        <top/>
        <bottom/>
        <vertical style="thin">
          <color indexed="64"/>
        </vertical>
        <horizontal style="thin">
          <color indexed="64"/>
        </horizontal>
      </border>
    </dxf>
    <dxf>
      <font>
        <b/>
        <i val="0"/>
        <strike val="0"/>
        <condense val="0"/>
        <extend val="0"/>
        <outline val="0"/>
        <shadow val="0"/>
        <u val="none"/>
        <vertAlign val="baseline"/>
        <sz val="8"/>
        <color auto="1"/>
        <name val="Arial"/>
        <family val="2"/>
        <scheme val="none"/>
      </font>
      <fill>
        <patternFill patternType="solid">
          <fgColor indexed="64"/>
          <bgColor theme="4" tint="0.79998168889431442"/>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ont>
        <b val="0"/>
        <i val="0"/>
        <strike val="0"/>
        <condense val="0"/>
        <extend val="0"/>
        <outline val="0"/>
        <shadow val="0"/>
        <u val="none"/>
        <vertAlign val="baseline"/>
        <sz val="9"/>
        <color auto="1"/>
        <name val="Arial"/>
        <family val="2"/>
        <scheme val="none"/>
      </font>
      <numFmt numFmtId="165" formatCode="dd/mm/\y\y\y\y"/>
      <alignment horizontal="general"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outline val="0"/>
        <shadow val="0"/>
        <u val="none"/>
        <vertAlign val="baseline"/>
        <sz val="9"/>
        <color auto="1"/>
        <name val="Arial"/>
        <family val="2"/>
        <scheme val="none"/>
      </font>
      <numFmt numFmtId="165" formatCode="dd/mm/\y\y\y\y"/>
      <fill>
        <patternFill patternType="none">
          <fgColor indexed="64"/>
          <bgColor auto="1"/>
        </patternFill>
      </fill>
      <alignment horizontal="general" vertical="top" textRotation="0" indent="0" justifyLastLine="0" shrinkToFit="0"/>
    </dxf>
    <dxf>
      <border>
        <bottom style="thin">
          <color indexed="64"/>
        </bottom>
      </border>
    </dxf>
    <dxf>
      <font>
        <b/>
        <i val="0"/>
        <strike val="0"/>
        <condense val="0"/>
        <extend val="0"/>
        <outline val="0"/>
        <shadow val="0"/>
        <u val="none"/>
        <vertAlign val="baseline"/>
        <sz val="9"/>
        <color auto="1"/>
        <name val="Arial"/>
        <family val="2"/>
        <scheme val="none"/>
      </font>
      <numFmt numFmtId="19" formatCode="dd/mm/yyyy"/>
      <fill>
        <patternFill patternType="solid">
          <fgColor indexed="64"/>
          <bgColor theme="6" tint="0.39997558519241921"/>
        </patternFill>
      </fill>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1" defaultTableStyle="TableStyleMedium2" defaultPivotStyle="PivotStyleLight16">
    <tableStyle name="Invisible" pivot="0" table="0" count="0" xr9:uid="{003E642F-3F73-4398-85FF-67720E7A94A6}"/>
  </tableStyles>
  <colors>
    <mruColors>
      <color rgb="FFFFE697"/>
      <color rgb="FFFBEF4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a:t>
            </a:r>
            <a:r>
              <a:rPr lang="es-ES" baseline="0"/>
              <a:t> por prioridad</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 (2)'!$C$3</c:f>
              <c:strCache>
                <c:ptCount val="1"/>
                <c:pt idx="0">
                  <c:v>05/05/2025</c:v>
                </c:pt>
              </c:strCache>
            </c:strRef>
          </c:tx>
          <c:spPr>
            <a:solidFill>
              <a:schemeClr val="accent1"/>
            </a:solidFill>
            <a:ln>
              <a:noFill/>
            </a:ln>
            <a:effectLst/>
          </c:spPr>
          <c:invertIfNegative val="0"/>
          <c:cat>
            <c:strRef>
              <c:f>'Hoja1 (2)'!$B$4:$B$7</c:f>
              <c:strCache>
                <c:ptCount val="4"/>
                <c:pt idx="0">
                  <c:v>Crítica</c:v>
                </c:pt>
                <c:pt idx="1">
                  <c:v>Alta</c:v>
                </c:pt>
                <c:pt idx="2">
                  <c:v>Media</c:v>
                </c:pt>
                <c:pt idx="3">
                  <c:v>Baja</c:v>
                </c:pt>
              </c:strCache>
            </c:strRef>
          </c:cat>
          <c:val>
            <c:numRef>
              <c:f>'Hoja1 (2)'!$C$4:$C$7</c:f>
              <c:numCache>
                <c:formatCode>General</c:formatCode>
                <c:ptCount val="4"/>
                <c:pt idx="1">
                  <c:v>14</c:v>
                </c:pt>
                <c:pt idx="2">
                  <c:v>18</c:v>
                </c:pt>
                <c:pt idx="3">
                  <c:v>47</c:v>
                </c:pt>
              </c:numCache>
            </c:numRef>
          </c:val>
          <c:extLst>
            <c:ext xmlns:c16="http://schemas.microsoft.com/office/drawing/2014/chart" uri="{C3380CC4-5D6E-409C-BE32-E72D297353CC}">
              <c16:uniqueId val="{00000000-E419-45F0-A23A-6748147EF7BC}"/>
            </c:ext>
          </c:extLst>
        </c:ser>
        <c:ser>
          <c:idx val="1"/>
          <c:order val="1"/>
          <c:tx>
            <c:strRef>
              <c:f>'Hoja1 (2)'!$D$3</c:f>
              <c:strCache>
                <c:ptCount val="1"/>
                <c:pt idx="0">
                  <c:v>20/06/2025</c:v>
                </c:pt>
              </c:strCache>
            </c:strRef>
          </c:tx>
          <c:spPr>
            <a:solidFill>
              <a:schemeClr val="accent3">
                <a:lumMod val="60000"/>
                <a:lumOff val="40000"/>
              </a:schemeClr>
            </a:solidFill>
            <a:ln>
              <a:noFill/>
            </a:ln>
            <a:effectLst/>
          </c:spPr>
          <c:invertIfNegative val="0"/>
          <c:cat>
            <c:strRef>
              <c:f>'Hoja1 (2)'!$B$4:$B$7</c:f>
              <c:strCache>
                <c:ptCount val="4"/>
                <c:pt idx="0">
                  <c:v>Crítica</c:v>
                </c:pt>
                <c:pt idx="1">
                  <c:v>Alta</c:v>
                </c:pt>
                <c:pt idx="2">
                  <c:v>Media</c:v>
                </c:pt>
                <c:pt idx="3">
                  <c:v>Baja</c:v>
                </c:pt>
              </c:strCache>
            </c:strRef>
          </c:cat>
          <c:val>
            <c:numRef>
              <c:f>'Hoja1 (2)'!$D$4:$D$7</c:f>
              <c:numCache>
                <c:formatCode>General</c:formatCode>
                <c:ptCount val="4"/>
                <c:pt idx="0">
                  <c:v>3</c:v>
                </c:pt>
                <c:pt idx="1">
                  <c:v>91</c:v>
                </c:pt>
                <c:pt idx="2">
                  <c:v>43</c:v>
                </c:pt>
                <c:pt idx="3">
                  <c:v>46</c:v>
                </c:pt>
              </c:numCache>
            </c:numRef>
          </c:val>
          <c:extLst>
            <c:ext xmlns:c16="http://schemas.microsoft.com/office/drawing/2014/chart" uri="{C3380CC4-5D6E-409C-BE32-E72D297353CC}">
              <c16:uniqueId val="{00000001-E419-45F0-A23A-6748147EF7BC}"/>
            </c:ext>
          </c:extLst>
        </c:ser>
        <c:dLbls>
          <c:showLegendKey val="0"/>
          <c:showVal val="0"/>
          <c:showCatName val="0"/>
          <c:showSerName val="0"/>
          <c:showPercent val="0"/>
          <c:showBubbleSize val="0"/>
        </c:dLbls>
        <c:gapWidth val="219"/>
        <c:overlap val="-27"/>
        <c:axId val="2022853216"/>
        <c:axId val="2022848896"/>
      </c:barChart>
      <c:catAx>
        <c:axId val="202285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22848896"/>
        <c:crosses val="autoZero"/>
        <c:auto val="1"/>
        <c:lblAlgn val="ctr"/>
        <c:lblOffset val="100"/>
        <c:noMultiLvlLbl val="0"/>
      </c:catAx>
      <c:valAx>
        <c:axId val="202284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2285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 por Módulo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 (2)'!$G$3</c:f>
              <c:strCache>
                <c:ptCount val="1"/>
                <c:pt idx="0">
                  <c:v>05/05/2025</c:v>
                </c:pt>
              </c:strCache>
            </c:strRef>
          </c:tx>
          <c:spPr>
            <a:solidFill>
              <a:schemeClr val="accent1"/>
            </a:solidFill>
            <a:ln>
              <a:noFill/>
            </a:ln>
            <a:effectLst/>
          </c:spPr>
          <c:invertIfNegative val="0"/>
          <c:cat>
            <c:strRef>
              <c:f>'Hoja1 (2)'!$F$4:$F$9</c:f>
              <c:strCache>
                <c:ptCount val="6"/>
                <c:pt idx="0">
                  <c:v>Finanzas</c:v>
                </c:pt>
                <c:pt idx="1">
                  <c:v>Integración Alm. SGA</c:v>
                </c:pt>
                <c:pt idx="2">
                  <c:v>O2C - Order to cash</c:v>
                </c:pt>
                <c:pt idx="3">
                  <c:v>P2P – Procure to pay</c:v>
                </c:pt>
                <c:pt idx="4">
                  <c:v>IT</c:v>
                </c:pt>
                <c:pt idx="5">
                  <c:v>Gestión</c:v>
                </c:pt>
              </c:strCache>
            </c:strRef>
          </c:cat>
          <c:val>
            <c:numRef>
              <c:f>'Hoja1 (2)'!$G$4:$G$9</c:f>
              <c:numCache>
                <c:formatCode>General</c:formatCode>
                <c:ptCount val="6"/>
                <c:pt idx="0">
                  <c:v>33</c:v>
                </c:pt>
                <c:pt idx="1">
                  <c:v>5</c:v>
                </c:pt>
                <c:pt idx="2">
                  <c:v>22</c:v>
                </c:pt>
                <c:pt idx="3">
                  <c:v>19</c:v>
                </c:pt>
              </c:numCache>
            </c:numRef>
          </c:val>
          <c:extLst>
            <c:ext xmlns:c16="http://schemas.microsoft.com/office/drawing/2014/chart" uri="{C3380CC4-5D6E-409C-BE32-E72D297353CC}">
              <c16:uniqueId val="{00000000-FD42-44D9-9493-1A6D5533DE9C}"/>
            </c:ext>
          </c:extLst>
        </c:ser>
        <c:ser>
          <c:idx val="1"/>
          <c:order val="1"/>
          <c:tx>
            <c:strRef>
              <c:f>'Hoja1 (2)'!$H$3</c:f>
              <c:strCache>
                <c:ptCount val="1"/>
                <c:pt idx="0">
                  <c:v>20/06/2025</c:v>
                </c:pt>
              </c:strCache>
            </c:strRef>
          </c:tx>
          <c:spPr>
            <a:solidFill>
              <a:schemeClr val="accent3">
                <a:lumMod val="60000"/>
                <a:lumOff val="40000"/>
              </a:schemeClr>
            </a:solidFill>
            <a:ln>
              <a:noFill/>
            </a:ln>
            <a:effectLst/>
          </c:spPr>
          <c:invertIfNegative val="0"/>
          <c:cat>
            <c:strRef>
              <c:f>'Hoja1 (2)'!$F$4:$F$9</c:f>
              <c:strCache>
                <c:ptCount val="6"/>
                <c:pt idx="0">
                  <c:v>Finanzas</c:v>
                </c:pt>
                <c:pt idx="1">
                  <c:v>Integración Alm. SGA</c:v>
                </c:pt>
                <c:pt idx="2">
                  <c:v>O2C - Order to cash</c:v>
                </c:pt>
                <c:pt idx="3">
                  <c:v>P2P – Procure to pay</c:v>
                </c:pt>
                <c:pt idx="4">
                  <c:v>IT</c:v>
                </c:pt>
                <c:pt idx="5">
                  <c:v>Gestión</c:v>
                </c:pt>
              </c:strCache>
            </c:strRef>
          </c:cat>
          <c:val>
            <c:numRef>
              <c:f>'Hoja1 (2)'!$H$4:$H$9</c:f>
              <c:numCache>
                <c:formatCode>General</c:formatCode>
                <c:ptCount val="6"/>
                <c:pt idx="0">
                  <c:v>69</c:v>
                </c:pt>
                <c:pt idx="1">
                  <c:v>9</c:v>
                </c:pt>
                <c:pt idx="2">
                  <c:v>51</c:v>
                </c:pt>
                <c:pt idx="3">
                  <c:v>49</c:v>
                </c:pt>
                <c:pt idx="4">
                  <c:v>1</c:v>
                </c:pt>
                <c:pt idx="5">
                  <c:v>4</c:v>
                </c:pt>
              </c:numCache>
            </c:numRef>
          </c:val>
          <c:extLst>
            <c:ext xmlns:c16="http://schemas.microsoft.com/office/drawing/2014/chart" uri="{C3380CC4-5D6E-409C-BE32-E72D297353CC}">
              <c16:uniqueId val="{00000001-FD42-44D9-9493-1A6D5533DE9C}"/>
            </c:ext>
          </c:extLst>
        </c:ser>
        <c:dLbls>
          <c:showLegendKey val="0"/>
          <c:showVal val="0"/>
          <c:showCatName val="0"/>
          <c:showSerName val="0"/>
          <c:showPercent val="0"/>
          <c:showBubbleSize val="0"/>
        </c:dLbls>
        <c:gapWidth val="219"/>
        <c:overlap val="-27"/>
        <c:axId val="911361840"/>
        <c:axId val="911362800"/>
      </c:barChart>
      <c:catAx>
        <c:axId val="91136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362800"/>
        <c:crosses val="autoZero"/>
        <c:auto val="1"/>
        <c:lblAlgn val="ctr"/>
        <c:lblOffset val="100"/>
        <c:noMultiLvlLbl val="0"/>
      </c:catAx>
      <c:valAx>
        <c:axId val="9113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36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a:t>
            </a:r>
            <a:r>
              <a:rPr lang="es-ES" baseline="0"/>
              <a:t> por estado</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'Hoja1 (2)'!$J$4</c:f>
              <c:strCache>
                <c:ptCount val="1"/>
                <c:pt idx="0">
                  <c:v>En proceso</c:v>
                </c:pt>
              </c:strCache>
            </c:strRef>
          </c:tx>
          <c:spPr>
            <a:solidFill>
              <a:schemeClr val="accent1">
                <a:lumMod val="75000"/>
              </a:schemeClr>
            </a:solidFill>
            <a:ln>
              <a:noFill/>
            </a:ln>
            <a:effectLst/>
          </c:spPr>
          <c:invertIfNegative val="0"/>
          <c:cat>
            <c:numRef>
              <c:f>'Hoja1 (2)'!$K$3:$L$3</c:f>
              <c:numCache>
                <c:formatCode>m/d/yyyy</c:formatCode>
                <c:ptCount val="2"/>
                <c:pt idx="0">
                  <c:v>45782</c:v>
                </c:pt>
                <c:pt idx="1">
                  <c:v>45828</c:v>
                </c:pt>
              </c:numCache>
            </c:numRef>
          </c:cat>
          <c:val>
            <c:numRef>
              <c:f>'Hoja1 (2)'!$K$4:$L$4</c:f>
              <c:numCache>
                <c:formatCode>General</c:formatCode>
                <c:ptCount val="2"/>
                <c:pt idx="0">
                  <c:v>5</c:v>
                </c:pt>
                <c:pt idx="1">
                  <c:v>25</c:v>
                </c:pt>
              </c:numCache>
            </c:numRef>
          </c:val>
          <c:extLst>
            <c:ext xmlns:c16="http://schemas.microsoft.com/office/drawing/2014/chart" uri="{C3380CC4-5D6E-409C-BE32-E72D297353CC}">
              <c16:uniqueId val="{00000000-4DC8-409C-AB5D-2AC794A2CDEE}"/>
            </c:ext>
          </c:extLst>
        </c:ser>
        <c:ser>
          <c:idx val="1"/>
          <c:order val="1"/>
          <c:tx>
            <c:strRef>
              <c:f>'Hoja1 (2)'!$J$5</c:f>
              <c:strCache>
                <c:ptCount val="1"/>
                <c:pt idx="0">
                  <c:v>Parada por MP</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(2)'!$K$5:$L$5</c:f>
              <c:numCache>
                <c:formatCode>General</c:formatCode>
                <c:ptCount val="2"/>
                <c:pt idx="1">
                  <c:v>12</c:v>
                </c:pt>
              </c:numCache>
            </c:numRef>
          </c:val>
          <c:extLst>
            <c:ext xmlns:c16="http://schemas.microsoft.com/office/drawing/2014/chart" uri="{C3380CC4-5D6E-409C-BE32-E72D297353CC}">
              <c16:uniqueId val="{00000001-4DC8-409C-AB5D-2AC794A2CDEE}"/>
            </c:ext>
          </c:extLst>
        </c:ser>
        <c:ser>
          <c:idx val="2"/>
          <c:order val="2"/>
          <c:tx>
            <c:strRef>
              <c:f>'Hoja1 (2)'!$J$6</c:f>
              <c:strCache>
                <c:ptCount val="1"/>
                <c:pt idx="0">
                  <c:v>Solucionada</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(2)'!$K$6:$L$6</c:f>
              <c:numCache>
                <c:formatCode>General</c:formatCode>
                <c:ptCount val="2"/>
                <c:pt idx="1">
                  <c:v>50</c:v>
                </c:pt>
              </c:numCache>
            </c:numRef>
          </c:val>
          <c:extLst>
            <c:ext xmlns:c16="http://schemas.microsoft.com/office/drawing/2014/chart" uri="{C3380CC4-5D6E-409C-BE32-E72D297353CC}">
              <c16:uniqueId val="{00000002-4DC8-409C-AB5D-2AC794A2CDEE}"/>
            </c:ext>
          </c:extLst>
        </c:ser>
        <c:ser>
          <c:idx val="3"/>
          <c:order val="3"/>
          <c:tx>
            <c:strRef>
              <c:f>'Hoja1 (2)'!$J$7</c:f>
              <c:strCache>
                <c:ptCount val="1"/>
                <c:pt idx="0">
                  <c:v>Entregada</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(2)'!$K$7:$L$7</c:f>
              <c:numCache>
                <c:formatCode>General</c:formatCode>
                <c:ptCount val="2"/>
                <c:pt idx="1">
                  <c:v>7</c:v>
                </c:pt>
              </c:numCache>
            </c:numRef>
          </c:val>
          <c:extLst>
            <c:ext xmlns:c16="http://schemas.microsoft.com/office/drawing/2014/chart" uri="{C3380CC4-5D6E-409C-BE32-E72D297353CC}">
              <c16:uniqueId val="{00000003-4DC8-409C-AB5D-2AC794A2CDEE}"/>
            </c:ext>
          </c:extLst>
        </c:ser>
        <c:ser>
          <c:idx val="4"/>
          <c:order val="4"/>
          <c:tx>
            <c:strRef>
              <c:f>'Hoja1 (2)'!$J$8</c:f>
              <c:strCache>
                <c:ptCount val="1"/>
                <c:pt idx="0">
                  <c:v>Pte Info MP</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(2)'!$K$8:$L$8</c:f>
              <c:numCache>
                <c:formatCode>General</c:formatCode>
                <c:ptCount val="2"/>
                <c:pt idx="1">
                  <c:v>18</c:v>
                </c:pt>
              </c:numCache>
            </c:numRef>
          </c:val>
          <c:extLst>
            <c:ext xmlns:c16="http://schemas.microsoft.com/office/drawing/2014/chart" uri="{C3380CC4-5D6E-409C-BE32-E72D297353CC}">
              <c16:uniqueId val="{00000004-4DC8-409C-AB5D-2AC794A2CDEE}"/>
            </c:ext>
          </c:extLst>
        </c:ser>
        <c:ser>
          <c:idx val="5"/>
          <c:order val="5"/>
          <c:tx>
            <c:strRef>
              <c:f>'Hoja1 (2)'!$J$9</c:f>
              <c:strCache>
                <c:ptCount val="1"/>
                <c:pt idx="0">
                  <c:v>Descartada</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(2)'!$K$9:$L$9</c:f>
              <c:numCache>
                <c:formatCode>General</c:formatCode>
                <c:ptCount val="2"/>
                <c:pt idx="1">
                  <c:v>2</c:v>
                </c:pt>
              </c:numCache>
            </c:numRef>
          </c:val>
          <c:extLst>
            <c:ext xmlns:c16="http://schemas.microsoft.com/office/drawing/2014/chart" uri="{C3380CC4-5D6E-409C-BE32-E72D297353CC}">
              <c16:uniqueId val="{00000005-4DC8-409C-AB5D-2AC794A2CDEE}"/>
            </c:ext>
          </c:extLst>
        </c:ser>
        <c:ser>
          <c:idx val="6"/>
          <c:order val="6"/>
          <c:tx>
            <c:strRef>
              <c:f>'Hoja1 (2)'!$J$10</c:f>
              <c:strCache>
                <c:ptCount val="1"/>
                <c:pt idx="0">
                  <c:v>Nueva</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(2)'!$K$10:$L$10</c:f>
              <c:numCache>
                <c:formatCode>General</c:formatCode>
                <c:ptCount val="2"/>
                <c:pt idx="1">
                  <c:v>15</c:v>
                </c:pt>
              </c:numCache>
            </c:numRef>
          </c:val>
          <c:extLst>
            <c:ext xmlns:c16="http://schemas.microsoft.com/office/drawing/2014/chart" uri="{C3380CC4-5D6E-409C-BE32-E72D297353CC}">
              <c16:uniqueId val="{00000006-4DC8-409C-AB5D-2AC794A2CDEE}"/>
            </c:ext>
          </c:extLst>
        </c:ser>
        <c:ser>
          <c:idx val="7"/>
          <c:order val="7"/>
          <c:tx>
            <c:strRef>
              <c:f>'Hoja1 (2)'!$J$11</c:f>
              <c:strCache>
                <c:ptCount val="1"/>
                <c:pt idx="0">
                  <c:v>Abierta</c:v>
                </c:pt>
              </c:strCache>
            </c:strRef>
          </c:tx>
          <c:spPr>
            <a:solidFill>
              <a:schemeClr val="accent1">
                <a:lumMod val="40000"/>
                <a:lumOff val="60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4DC8-409C-AB5D-2AC794A2CDEE}"/>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A-4DC8-409C-AB5D-2AC794A2CDEE}"/>
              </c:ext>
            </c:extLst>
          </c:dPt>
          <c:cat>
            <c:numRef>
              <c:f>'Hoja1 (2)'!$K$3:$L$3</c:f>
              <c:numCache>
                <c:formatCode>m/d/yyyy</c:formatCode>
                <c:ptCount val="2"/>
                <c:pt idx="0">
                  <c:v>45782</c:v>
                </c:pt>
                <c:pt idx="1">
                  <c:v>45828</c:v>
                </c:pt>
              </c:numCache>
            </c:numRef>
          </c:cat>
          <c:val>
            <c:numRef>
              <c:f>'Hoja1 (2)'!$K$11:$L$11</c:f>
              <c:numCache>
                <c:formatCode>General</c:formatCode>
                <c:ptCount val="2"/>
                <c:pt idx="0">
                  <c:v>74</c:v>
                </c:pt>
                <c:pt idx="1">
                  <c:v>51</c:v>
                </c:pt>
              </c:numCache>
            </c:numRef>
          </c:val>
          <c:extLst>
            <c:ext xmlns:c16="http://schemas.microsoft.com/office/drawing/2014/chart" uri="{C3380CC4-5D6E-409C-BE32-E72D297353CC}">
              <c16:uniqueId val="{0000000B-4DC8-409C-AB5D-2AC794A2CDEE}"/>
            </c:ext>
          </c:extLst>
        </c:ser>
        <c:ser>
          <c:idx val="8"/>
          <c:order val="8"/>
          <c:tx>
            <c:strRef>
              <c:f>'Hoja1 (2)'!$J$12</c:f>
              <c:strCache>
                <c:ptCount val="1"/>
                <c:pt idx="0">
                  <c:v>Duplicada</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(2)'!$K$12:$L$12</c:f>
              <c:numCache>
                <c:formatCode>General</c:formatCode>
                <c:ptCount val="2"/>
                <c:pt idx="1">
                  <c:v>2</c:v>
                </c:pt>
              </c:numCache>
            </c:numRef>
          </c:val>
          <c:extLst>
            <c:ext xmlns:c16="http://schemas.microsoft.com/office/drawing/2014/chart" uri="{C3380CC4-5D6E-409C-BE32-E72D297353CC}">
              <c16:uniqueId val="{0000000C-4DC8-409C-AB5D-2AC794A2CDEE}"/>
            </c:ext>
          </c:extLst>
        </c:ser>
        <c:ser>
          <c:idx val="9"/>
          <c:order val="9"/>
          <c:tx>
            <c:strRef>
              <c:f>'Hoja1 (2)'!$J$13</c:f>
              <c:strCache>
                <c:ptCount val="1"/>
                <c:pt idx="0">
                  <c:v>Pte de Pruebas MP</c:v>
                </c:pt>
              </c:strCache>
            </c:strRef>
          </c:tx>
          <c:spPr>
            <a:solidFill>
              <a:schemeClr val="accent3">
                <a:lumMod val="60000"/>
                <a:lumOff val="40000"/>
              </a:schemeClr>
            </a:solidFill>
            <a:ln>
              <a:noFill/>
            </a:ln>
            <a:effectLst/>
          </c:spPr>
          <c:invertIfNegative val="0"/>
          <c:cat>
            <c:numRef>
              <c:f>'Hoja1 (2)'!$K$3:$L$3</c:f>
              <c:numCache>
                <c:formatCode>m/d/yyyy</c:formatCode>
                <c:ptCount val="2"/>
                <c:pt idx="0">
                  <c:v>45782</c:v>
                </c:pt>
                <c:pt idx="1">
                  <c:v>45828</c:v>
                </c:pt>
              </c:numCache>
            </c:numRef>
          </c:cat>
          <c:val>
            <c:numRef>
              <c:f>'Hoja1 (2)'!$K$13:$L$13</c:f>
              <c:numCache>
                <c:formatCode>General</c:formatCode>
                <c:ptCount val="2"/>
                <c:pt idx="1">
                  <c:v>1</c:v>
                </c:pt>
              </c:numCache>
            </c:numRef>
          </c:val>
          <c:extLst>
            <c:ext xmlns:c16="http://schemas.microsoft.com/office/drawing/2014/chart" uri="{C3380CC4-5D6E-409C-BE32-E72D297353CC}">
              <c16:uniqueId val="{0000000D-4DC8-409C-AB5D-2AC794A2CDEE}"/>
            </c:ext>
          </c:extLst>
        </c:ser>
        <c:dLbls>
          <c:showLegendKey val="0"/>
          <c:showVal val="0"/>
          <c:showCatName val="0"/>
          <c:showSerName val="0"/>
          <c:showPercent val="0"/>
          <c:showBubbleSize val="0"/>
        </c:dLbls>
        <c:gapWidth val="219"/>
        <c:overlap val="-27"/>
        <c:axId val="914023696"/>
        <c:axId val="914019376"/>
      </c:barChart>
      <c:dateAx>
        <c:axId val="91402369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4019376"/>
        <c:crosses val="autoZero"/>
        <c:auto val="1"/>
        <c:lblOffset val="100"/>
        <c:baseTimeUnit val="months"/>
      </c:dateAx>
      <c:valAx>
        <c:axId val="914019376"/>
        <c:scaling>
          <c:orientation val="minMax"/>
          <c:max val="7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4023696"/>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Incidencias totales por estado</a:t>
            </a:r>
          </a:p>
        </c:rich>
      </c:tx>
      <c:layout>
        <c:manualLayout>
          <c:xMode val="edge"/>
          <c:yMode val="edge"/>
          <c:x val="0.25381765235549941"/>
          <c:y val="8.3232045658722192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3"/>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dLbl>
          <c:idx val="0"/>
          <c:layout>
            <c:manualLayout>
              <c:x val="-3.7855643044619421E-2"/>
              <c:y val="0.1499362058909302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3"/>
          </a:solidFill>
          <a:ln>
            <a:noFill/>
          </a:ln>
          <a:effectLst>
            <a:outerShdw blurRad="254000" sx="102000" sy="102000" algn="ctr" rotWithShape="0">
              <a:prstClr val="black">
                <a:alpha val="20000"/>
              </a:prstClr>
            </a:outerShdw>
          </a:effectLst>
        </c:spPr>
        <c:dLbl>
          <c:idx val="0"/>
          <c:layout>
            <c:manualLayout>
              <c:x val="-0.12516068000333885"/>
              <c:y val="-0.16045712748455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3"/>
          </a:solidFill>
          <a:ln>
            <a:noFill/>
          </a:ln>
          <a:effectLst>
            <a:outerShdw blurRad="254000" sx="102000" sy="102000" algn="ctr" rotWithShape="0">
              <a:prstClr val="black">
                <a:alpha val="20000"/>
              </a:prstClr>
            </a:outerShdw>
          </a:effectLst>
        </c:spPr>
        <c:dLbl>
          <c:idx val="0"/>
          <c:layout>
            <c:manualLayout>
              <c:x val="0.10549465327434775"/>
              <c:y val="0.1226863396346153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3"/>
          </a:solidFill>
          <a:ln>
            <a:noFill/>
          </a:ln>
          <a:effectLst>
            <a:outerShdw blurRad="254000" sx="102000" sy="102000" algn="ctr" rotWithShape="0">
              <a:prstClr val="black">
                <a:alpha val="20000"/>
              </a:prstClr>
            </a:outerShdw>
          </a:effectLst>
        </c:spPr>
        <c:dLbl>
          <c:idx val="0"/>
          <c:layout>
            <c:manualLayout>
              <c:x val="6.494045797278869E-2"/>
              <c:y val="0.1206273000369040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3"/>
          </a:solidFill>
          <a:ln>
            <a:noFill/>
          </a:ln>
          <a:effectLst>
            <a:outerShdw blurRad="254000" sx="102000" sy="102000" algn="ctr" rotWithShape="0">
              <a:prstClr val="black">
                <a:alpha val="20000"/>
              </a:prstClr>
            </a:outerShdw>
          </a:effectLst>
        </c:spPr>
        <c:dLbl>
          <c:idx val="0"/>
          <c:layout>
            <c:manualLayout>
              <c:x val="5.63789729464029E-2"/>
              <c:y val="7.98572813089559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3"/>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dLbl>
          <c:idx val="0"/>
          <c:layout>
            <c:manualLayout>
              <c:x val="3.8060756981349066E-2"/>
              <c:y val="4.955146046954380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3">
              <a:shade val="65000"/>
            </a:schemeClr>
          </a:solidFill>
          <a:ln>
            <a:noFill/>
          </a:ln>
          <a:effectLst>
            <a:outerShdw blurRad="254000" sx="102000" sy="102000" algn="ctr" rotWithShape="0">
              <a:prstClr val="black">
                <a:alpha val="20000"/>
              </a:prstClr>
            </a:outerShdw>
          </a:effectLst>
        </c:spPr>
      </c:pivotFmt>
      <c:pivotFmt>
        <c:idx val="24"/>
        <c:spPr>
          <a:solidFill>
            <a:srgbClr val="FFFF00"/>
          </a:solidFill>
          <a:ln>
            <a:noFill/>
          </a:ln>
          <a:effectLst>
            <a:outerShdw blurRad="254000" sx="102000" sy="102000" algn="ctr" rotWithShape="0">
              <a:prstClr val="black">
                <a:alpha val="20000"/>
              </a:prstClr>
            </a:outerShdw>
          </a:effectLst>
        </c:spPr>
      </c:pivotFmt>
      <c:pivotFmt>
        <c:idx val="25"/>
        <c:spPr>
          <a:solidFill>
            <a:schemeClr val="accent3">
              <a:tint val="65000"/>
            </a:schemeClr>
          </a:solidFill>
          <a:ln>
            <a:noFill/>
          </a:ln>
          <a:effectLst>
            <a:outerShdw blurRad="254000" sx="102000" sy="102000" algn="ctr" rotWithShape="0">
              <a:prstClr val="black">
                <a:alpha val="20000"/>
              </a:prstClr>
            </a:outerShdw>
          </a:effectLst>
        </c:spPr>
      </c:pivotFmt>
      <c:pivotFmt>
        <c:idx val="26"/>
        <c:spPr>
          <a:solidFill>
            <a:schemeClr val="accent3"/>
          </a:solidFill>
          <a:ln>
            <a:noFill/>
          </a:ln>
          <a:effectLst>
            <a:outerShdw blurRad="254000" sx="102000" sy="102000" algn="ctr" rotWithShape="0">
              <a:prstClr val="black">
                <a:alpha val="20000"/>
              </a:prstClr>
            </a:outerShdw>
          </a:effectLst>
        </c:spPr>
      </c:pivotFmt>
      <c:pivotFmt>
        <c:idx val="27"/>
        <c:spPr>
          <a:solidFill>
            <a:schemeClr val="accent3">
              <a:tint val="83000"/>
            </a:schemeClr>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3">
              <a:tint val="48000"/>
            </a:schemeClr>
          </a:solidFill>
          <a:ln>
            <a:noFill/>
          </a:ln>
          <a:effectLst>
            <a:outerShdw blurRad="254000" sx="102000" sy="102000" algn="ctr" rotWithShape="0">
              <a:prstClr val="black">
                <a:alpha val="20000"/>
              </a:prstClr>
            </a:outerShdw>
          </a:effectLst>
        </c:spPr>
      </c:pivotFmt>
      <c:pivotFmt>
        <c:idx val="30"/>
        <c:spPr>
          <a:solidFill>
            <a:schemeClr val="accent3">
              <a:tint val="65000"/>
            </a:schemeClr>
          </a:solidFill>
          <a:ln>
            <a:noFill/>
          </a:ln>
          <a:effectLst>
            <a:outerShdw blurRad="254000" sx="102000" sy="102000" algn="ctr" rotWithShape="0">
              <a:prstClr val="black">
                <a:alpha val="20000"/>
              </a:prstClr>
            </a:outerShdw>
          </a:effectLst>
        </c:spPr>
      </c:pivotFmt>
      <c:pivotFmt>
        <c:idx val="31"/>
        <c:spPr>
          <a:solidFill>
            <a:schemeClr val="accent3">
              <a:tint val="48000"/>
            </a:schemeClr>
          </a:solidFill>
          <a:ln>
            <a:noFill/>
          </a:ln>
          <a:effectLst>
            <a:outerShdw blurRad="254000" sx="102000" sy="102000" algn="ctr" rotWithShape="0">
              <a:prstClr val="black">
                <a:alpha val="20000"/>
              </a:prstClr>
            </a:outerShdw>
          </a:effectLst>
        </c:spPr>
      </c:pivotFmt>
      <c:pivotFmt>
        <c:idx val="32"/>
        <c:spPr>
          <a:solidFill>
            <a:schemeClr val="accent3">
              <a:tint val="46000"/>
            </a:schemeClr>
          </a:solidFill>
          <a:ln>
            <a:noFill/>
          </a:ln>
          <a:effectLst>
            <a:outerShdw blurRad="254000" sx="102000" sy="102000" algn="ctr" rotWithShape="0">
              <a:prstClr val="black">
                <a:alpha val="20000"/>
              </a:prstClr>
            </a:outerShdw>
          </a:effectLst>
        </c:spPr>
      </c:pivotFmt>
      <c:pivotFmt>
        <c:idx val="33"/>
        <c:spPr>
          <a:solidFill>
            <a:schemeClr val="accent3">
              <a:tint val="77000"/>
            </a:schemeClr>
          </a:solidFill>
          <a:ln>
            <a:noFill/>
          </a:ln>
          <a:effectLst>
            <a:outerShdw blurRad="254000" sx="102000" sy="102000" algn="ctr" rotWithShape="0">
              <a:prstClr val="black">
                <a:alpha val="20000"/>
              </a:prstClr>
            </a:outerShdw>
          </a:effectLst>
        </c:spPr>
      </c:pivotFmt>
      <c:pivotFmt>
        <c:idx val="34"/>
        <c:spPr>
          <a:solidFill>
            <a:schemeClr val="accent3">
              <a:lumMod val="50000"/>
            </a:schemeClr>
          </a:solidFill>
          <a:ln>
            <a:noFill/>
          </a:ln>
          <a:effectLst>
            <a:outerShdw blurRad="254000" sx="102000" sy="102000" algn="ctr" rotWithShape="0">
              <a:prstClr val="black">
                <a:alpha val="20000"/>
              </a:prstClr>
            </a:outerShdw>
          </a:effectLst>
        </c:spPr>
      </c:pivotFmt>
      <c:pivotFmt>
        <c:idx val="35"/>
        <c:spPr>
          <a:solidFill>
            <a:srgbClr val="FFC000"/>
          </a:solidFill>
          <a:ln>
            <a:noFill/>
          </a:ln>
          <a:effectLst>
            <a:outerShdw blurRad="254000" sx="102000" sy="102000" algn="ctr" rotWithShape="0">
              <a:prstClr val="black">
                <a:alpha val="20000"/>
              </a:prstClr>
            </a:outerShdw>
          </a:effectLst>
        </c:spPr>
      </c:pivotFmt>
      <c:pivotFmt>
        <c:idx val="36"/>
        <c:spPr>
          <a:solidFill>
            <a:schemeClr val="accent3">
              <a:tint val="44000"/>
            </a:schemeClr>
          </a:solidFill>
          <a:ln>
            <a:noFill/>
          </a:ln>
          <a:effectLst>
            <a:outerShdw blurRad="254000" sx="102000" sy="102000" algn="ctr" rotWithShape="0">
              <a:prstClr val="black">
                <a:alpha val="20000"/>
              </a:prstClr>
            </a:outerShdw>
          </a:effectLst>
        </c:spPr>
      </c:pivotFmt>
      <c:pivotFmt>
        <c:idx val="37"/>
        <c:spPr>
          <a:solidFill>
            <a:schemeClr val="accent2">
              <a:lumMod val="40000"/>
              <a:lumOff val="60000"/>
            </a:schemeClr>
          </a:solidFill>
          <a:ln>
            <a:noFill/>
          </a:ln>
          <a:effectLst>
            <a:outerShdw blurRad="254000" sx="102000" sy="102000" algn="ctr" rotWithShape="0">
              <a:prstClr val="black">
                <a:alpha val="20000"/>
              </a:prstClr>
            </a:outerShdw>
          </a:effectLst>
        </c:spPr>
      </c:pivotFmt>
      <c:pivotFmt>
        <c:idx val="38"/>
        <c:spPr>
          <a:solidFill>
            <a:schemeClr val="accent3">
              <a:tint val="43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661258937460404"/>
          <c:y val="0.22674330575260049"/>
          <c:w val="0.4728905330799168"/>
          <c:h val="0.69701781241766647"/>
        </c:manualLayout>
      </c:layout>
      <c:pieChart>
        <c:varyColors val="1"/>
        <c:ser>
          <c:idx val="0"/>
          <c:order val="0"/>
          <c:tx>
            <c:v>Total</c:v>
          </c:tx>
          <c:dPt>
            <c:idx val="0"/>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B80-4F67-9CB5-935A5D074D63}"/>
              </c:ext>
            </c:extLst>
          </c:dPt>
          <c:dPt>
            <c:idx val="1"/>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B80-4F67-9CB5-935A5D074D63}"/>
              </c:ext>
            </c:extLst>
          </c:dPt>
          <c:dPt>
            <c:idx val="2"/>
            <c:bubble3D val="0"/>
            <c:spPr>
              <a:solidFill>
                <a:schemeClr val="accent3">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B80-4F67-9CB5-935A5D074D63}"/>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B80-4F67-9CB5-935A5D074D63}"/>
              </c:ext>
            </c:extLst>
          </c:dPt>
          <c:dPt>
            <c:idx val="4"/>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B80-4F67-9CB5-935A5D074D63}"/>
              </c:ext>
            </c:extLst>
          </c:dPt>
          <c:dPt>
            <c:idx val="5"/>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4B1-4A23-AB3A-1701CA37F282}"/>
              </c:ext>
            </c:extLst>
          </c:dPt>
          <c:dPt>
            <c:idx val="6"/>
            <c:bubble3D val="0"/>
            <c:spPr>
              <a:solidFill>
                <a:schemeClr val="accent3">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E7A-4BE6-9DB8-AB268739CADA}"/>
              </c:ext>
            </c:extLst>
          </c:dPt>
          <c:dPt>
            <c:idx val="7"/>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972-4863-A506-D59ECF39FB49}"/>
              </c:ext>
            </c:extLst>
          </c:dPt>
          <c:dPt>
            <c:idx val="8"/>
            <c:bubble3D val="0"/>
            <c:spPr>
              <a:solidFill>
                <a:schemeClr val="accent2">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51D-48B4-8547-C1646E3553E9}"/>
              </c:ext>
            </c:extLst>
          </c:dPt>
          <c:dPt>
            <c:idx val="9"/>
            <c:bubble3D val="0"/>
            <c:spPr>
              <a:solidFill>
                <a:schemeClr val="accent3">
                  <a:tint val="4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4A8-4FDA-A34E-3536FCA939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0"/>
              <c:pt idx="0">
                <c:v>En proceso</c:v>
              </c:pt>
              <c:pt idx="1">
                <c:v>Abierta</c:v>
              </c:pt>
              <c:pt idx="2">
                <c:v>Entregada</c:v>
              </c:pt>
              <c:pt idx="3">
                <c:v>Pte Info MP</c:v>
              </c:pt>
              <c:pt idx="4">
                <c:v>Nueva</c:v>
              </c:pt>
              <c:pt idx="5">
                <c:v>Duplicada</c:v>
              </c:pt>
              <c:pt idx="6">
                <c:v>Cerrada</c:v>
              </c:pt>
              <c:pt idx="7">
                <c:v>Parada por MP</c:v>
              </c:pt>
              <c:pt idx="8">
                <c:v>Pte de Pruebas MP</c:v>
              </c:pt>
              <c:pt idx="9">
                <c:v>Descartada</c:v>
              </c:pt>
            </c:strLit>
          </c:cat>
          <c:val>
            <c:numLit>
              <c:formatCode>General</c:formatCode>
              <c:ptCount val="10"/>
              <c:pt idx="0">
                <c:v>9</c:v>
              </c:pt>
              <c:pt idx="1">
                <c:v>59</c:v>
              </c:pt>
              <c:pt idx="2">
                <c:v>16</c:v>
              </c:pt>
              <c:pt idx="3">
                <c:v>3</c:v>
              </c:pt>
              <c:pt idx="4">
                <c:v>33</c:v>
              </c:pt>
              <c:pt idx="5">
                <c:v>6</c:v>
              </c:pt>
              <c:pt idx="6">
                <c:v>17</c:v>
              </c:pt>
              <c:pt idx="7">
                <c:v>6</c:v>
              </c:pt>
              <c:pt idx="8">
                <c:v>2</c:v>
              </c:pt>
              <c:pt idx="9">
                <c:v>1</c:v>
              </c:pt>
            </c:numLit>
          </c:val>
          <c:extLst>
            <c:ext xmlns:c16="http://schemas.microsoft.com/office/drawing/2014/chart" uri="{C3380CC4-5D6E-409C-BE32-E72D297353CC}">
              <c16:uniqueId val="{00000000-CA49-47E6-9231-8D0509B9B12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726491085166074"/>
          <c:y val="0.18195925097840135"/>
          <c:w val="0.16825233052764957"/>
          <c:h val="0.783024601348699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pivotSource>
    <c:name>[EUROVA_Incidencias_UATs_20260113_v1.xls (3).xlsx]CdM!TablaDinámica2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baseline="0">
                <a:effectLst/>
              </a:rPr>
              <a:t>Incidencias totales por prioridad</a:t>
            </a:r>
            <a:endParaRPr lang="es-ES">
              <a:effectLst/>
            </a:endParaRPr>
          </a:p>
        </c:rich>
      </c:tx>
      <c:layout>
        <c:manualLayout>
          <c:xMode val="edge"/>
          <c:yMode val="edge"/>
          <c:x val="0.20368200742148609"/>
          <c:y val="6.60590234352853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rgbClr val="FF0000"/>
          </a:solidFill>
          <a:ln>
            <a:noFill/>
          </a:ln>
          <a:effectLst>
            <a:outerShdw blurRad="254000" sx="102000" sy="102000" algn="ctr" rotWithShape="0">
              <a:prstClr val="black">
                <a:alpha val="20000"/>
              </a:prstClr>
            </a:outerShdw>
          </a:effectLst>
        </c:spPr>
      </c:pivotFmt>
      <c:pivotFmt>
        <c:idx val="11"/>
        <c:spPr>
          <a:solidFill>
            <a:schemeClr val="accent3">
              <a:shade val="86000"/>
            </a:schemeClr>
          </a:solidFill>
          <a:ln>
            <a:noFill/>
          </a:ln>
          <a:effectLst>
            <a:outerShdw blurRad="254000" sx="102000" sy="102000" algn="ctr" rotWithShape="0">
              <a:prstClr val="black">
                <a:alpha val="20000"/>
              </a:prstClr>
            </a:outerShdw>
          </a:effectLst>
        </c:spPr>
      </c:pivotFmt>
      <c:pivotFmt>
        <c:idx val="12"/>
        <c:spPr>
          <a:solidFill>
            <a:srgbClr val="FBEF4F"/>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3">
              <a:tint val="58000"/>
            </a:schemeClr>
          </a:solidFill>
          <a:ln>
            <a:noFill/>
          </a:ln>
          <a:effectLst>
            <a:outerShdw blurRad="254000" sx="102000" sy="102000" algn="ctr" rotWithShape="0">
              <a:prstClr val="black">
                <a:alpha val="20000"/>
              </a:prstClr>
            </a:outerShdw>
          </a:effectLst>
        </c:spPr>
      </c:pivotFmt>
      <c:pivotFmt>
        <c:idx val="15"/>
        <c:spPr>
          <a:solidFill>
            <a:schemeClr val="accent3">
              <a:tint val="77000"/>
            </a:schemeClr>
          </a:solidFill>
          <a:ln>
            <a:noFill/>
          </a:ln>
          <a:effectLst>
            <a:outerShdw blurRad="254000" sx="102000" sy="102000" algn="ctr" rotWithShape="0">
              <a:prstClr val="black">
                <a:alpha val="20000"/>
              </a:prstClr>
            </a:outerShdw>
          </a:effectLst>
        </c:spPr>
      </c:pivotFmt>
      <c:pivotFmt>
        <c:idx val="16"/>
        <c:spPr>
          <a:solidFill>
            <a:schemeClr val="accent3">
              <a:tint val="54000"/>
            </a:schemeClr>
          </a:solidFill>
          <a:ln>
            <a:noFill/>
          </a:ln>
          <a:effectLst>
            <a:outerShdw blurRad="254000" sx="102000" sy="102000" algn="ctr" rotWithShape="0">
              <a:prstClr val="black">
                <a:alpha val="20000"/>
              </a:prstClr>
            </a:outerShdw>
          </a:effectLst>
        </c:spPr>
      </c:pivotFmt>
      <c:pivotFmt>
        <c:idx val="17"/>
        <c:spPr>
          <a:solidFill>
            <a:schemeClr val="accent3">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757783509819892"/>
          <c:y val="0.26062725323248193"/>
          <c:w val="0.45564915376957188"/>
          <c:h val="0.67160485180775531"/>
        </c:manualLayout>
      </c:layout>
      <c:pieChart>
        <c:varyColors val="1"/>
        <c:ser>
          <c:idx val="0"/>
          <c:order val="0"/>
          <c:tx>
            <c:strRef>
              <c:f>CdM!$B$31</c:f>
              <c:strCache>
                <c:ptCount val="1"/>
                <c:pt idx="0">
                  <c:v>Total</c:v>
                </c:pt>
              </c:strCache>
            </c:strRef>
          </c:tx>
          <c:dPt>
            <c:idx val="0"/>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EE-4A1C-A7DE-E4205560ACAC}"/>
              </c:ext>
            </c:extLst>
          </c:dPt>
          <c:dPt>
            <c:idx val="1"/>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EE-4A1C-A7DE-E4205560ACAC}"/>
              </c:ext>
            </c:extLst>
          </c:dPt>
          <c:dPt>
            <c:idx val="2"/>
            <c:bubble3D val="0"/>
            <c:spPr>
              <a:solidFill>
                <a:schemeClr val="accent3">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EE-4A1C-A7DE-E4205560ACAC}"/>
              </c:ext>
            </c:extLst>
          </c:dPt>
          <c:dPt>
            <c:idx val="3"/>
            <c:bubble3D val="0"/>
            <c:spPr>
              <a:solidFill>
                <a:schemeClr val="accent3">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95-4F94-91B9-E213B93CCBDA}"/>
              </c:ext>
            </c:extLst>
          </c:dPt>
          <c:dPt>
            <c:idx val="4"/>
            <c:bubble3D val="0"/>
            <c:spPr>
              <a:solidFill>
                <a:schemeClr val="accent3">
                  <a:tint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74-41A5-90EC-EDBECA21BF1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CdM!$A$32:$A$33</c:f>
              <c:strCache>
                <c:ptCount val="1"/>
                <c:pt idx="0">
                  <c:v>(en blanco)</c:v>
                </c:pt>
              </c:strCache>
            </c:strRef>
          </c:cat>
          <c:val>
            <c:numRef>
              <c:f>CdM!$B$32:$B$33</c:f>
              <c:numCache>
                <c:formatCode>General</c:formatCode>
                <c:ptCount val="1"/>
              </c:numCache>
            </c:numRef>
          </c:val>
          <c:extLst>
            <c:ext xmlns:c16="http://schemas.microsoft.com/office/drawing/2014/chart" uri="{C3380CC4-5D6E-409C-BE32-E72D297353CC}">
              <c16:uniqueId val="{00000000-E70B-4478-99C2-FDB3E15AAF9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747126436781613"/>
          <c:y val="0.40126898051339516"/>
          <c:w val="0.16379310344827586"/>
          <c:h val="0.275963074501329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pivotSource>
    <c:name>[EUROVA_Incidencias_UATs_20260113_v1.xls (3).xlsx]CdM!TablaDinámica5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800" b="1" i="0" baseline="0">
                <a:effectLst/>
              </a:rPr>
              <a:t>Incidencias en curso por módulo</a:t>
            </a:r>
            <a:endParaRPr lang="es-ES">
              <a:effectLst/>
            </a:endParaRPr>
          </a:p>
        </c:rich>
      </c:tx>
      <c:layout>
        <c:manualLayout>
          <c:xMode val="edge"/>
          <c:yMode val="edge"/>
          <c:x val="0.23125000000000001"/>
          <c:y val="5.8143773694954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3"/>
          </a:solidFill>
          <a:ln>
            <a:noFill/>
          </a:ln>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rgbClr val="FF0000"/>
          </a:solidFill>
          <a:ln>
            <a:noFill/>
          </a:ln>
          <a:effectLst/>
        </c:spPr>
      </c:pivotFmt>
      <c:pivotFmt>
        <c:idx val="3"/>
        <c:spPr>
          <a:solidFill>
            <a:schemeClr val="bg1">
              <a:lumMod val="85000"/>
            </a:schemeClr>
          </a:solidFill>
          <a:ln>
            <a:noFill/>
          </a:ln>
          <a:effectLst/>
        </c:spPr>
      </c:pivotFmt>
      <c:pivotFmt>
        <c:idx val="4"/>
        <c:spPr>
          <a:solidFill>
            <a:srgbClr val="FFFF00"/>
          </a:solidFill>
          <a:ln>
            <a:noFill/>
          </a:ln>
          <a:effectLst/>
        </c:spPr>
      </c:pivotFmt>
    </c:pivotFmts>
    <c:plotArea>
      <c:layout>
        <c:manualLayout>
          <c:layoutTarget val="inner"/>
          <c:xMode val="edge"/>
          <c:yMode val="edge"/>
          <c:x val="6.6580927384076991E-2"/>
          <c:y val="0.24873255471886974"/>
          <c:w val="0.90286351706036749"/>
          <c:h val="0.55229630139027386"/>
        </c:manualLayout>
      </c:layout>
      <c:barChart>
        <c:barDir val="col"/>
        <c:grouping val="clustered"/>
        <c:varyColors val="0"/>
        <c:ser>
          <c:idx val="0"/>
          <c:order val="0"/>
          <c:tx>
            <c:strRef>
              <c:f>CdM!$B$83</c:f>
              <c:strCache>
                <c:ptCount val="1"/>
                <c:pt idx="0">
                  <c:v>Total</c:v>
                </c:pt>
              </c:strCache>
            </c:strRef>
          </c:tx>
          <c:spPr>
            <a:solidFill>
              <a:schemeClr val="accent3"/>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0-1DA4-4019-9348-F46CA1BE7FE2}"/>
              </c:ext>
            </c:extLst>
          </c:dPt>
          <c:dPt>
            <c:idx val="2"/>
            <c:invertIfNegative val="0"/>
            <c:bubble3D val="0"/>
            <c:spPr>
              <a:solidFill>
                <a:srgbClr val="FF0000"/>
              </a:solidFill>
              <a:ln>
                <a:noFill/>
              </a:ln>
              <a:effectLst/>
            </c:spPr>
            <c:extLst>
              <c:ext xmlns:c16="http://schemas.microsoft.com/office/drawing/2014/chart" uri="{C3380CC4-5D6E-409C-BE32-E72D297353CC}">
                <c16:uniqueId val="{00000001-1DA4-4019-9348-F46CA1BE7FE2}"/>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2-1DA4-4019-9348-F46CA1BE7FE2}"/>
              </c:ext>
            </c:extLst>
          </c:dPt>
          <c:dPt>
            <c:idx val="4"/>
            <c:invertIfNegative val="0"/>
            <c:bubble3D val="0"/>
            <c:spPr>
              <a:solidFill>
                <a:srgbClr val="FFFF00"/>
              </a:solidFill>
              <a:ln>
                <a:noFill/>
              </a:ln>
              <a:effectLst/>
            </c:spPr>
            <c:extLst>
              <c:ext xmlns:c16="http://schemas.microsoft.com/office/drawing/2014/chart" uri="{C3380CC4-5D6E-409C-BE32-E72D297353CC}">
                <c16:uniqueId val="{00000003-1DA4-4019-9348-F46CA1BE7FE2}"/>
              </c:ext>
            </c:extLst>
          </c:dPt>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CdM!$A$84:$A$92</c:f>
              <c:strCache>
                <c:ptCount val="8"/>
                <c:pt idx="0">
                  <c:v>Finanzas</c:v>
                </c:pt>
                <c:pt idx="1">
                  <c:v>P2P</c:v>
                </c:pt>
                <c:pt idx="2">
                  <c:v>O2C</c:v>
                </c:pt>
                <c:pt idx="3">
                  <c:v>Integración</c:v>
                </c:pt>
                <c:pt idx="4">
                  <c:v>IT</c:v>
                </c:pt>
                <c:pt idx="5">
                  <c:v>Gestión</c:v>
                </c:pt>
                <c:pt idx="6">
                  <c:v>OTC</c:v>
                </c:pt>
                <c:pt idx="7">
                  <c:v>PTP</c:v>
                </c:pt>
              </c:strCache>
            </c:strRef>
          </c:cat>
          <c:val>
            <c:numRef>
              <c:f>CdM!$B$84:$B$92</c:f>
              <c:numCache>
                <c:formatCode>General</c:formatCode>
                <c:ptCount val="8"/>
                <c:pt idx="0">
                  <c:v>78</c:v>
                </c:pt>
                <c:pt idx="1">
                  <c:v>49</c:v>
                </c:pt>
                <c:pt idx="2">
                  <c:v>53</c:v>
                </c:pt>
                <c:pt idx="3">
                  <c:v>9</c:v>
                </c:pt>
                <c:pt idx="4">
                  <c:v>1</c:v>
                </c:pt>
                <c:pt idx="5">
                  <c:v>6</c:v>
                </c:pt>
                <c:pt idx="6">
                  <c:v>3</c:v>
                </c:pt>
                <c:pt idx="7">
                  <c:v>5</c:v>
                </c:pt>
              </c:numCache>
            </c:numRef>
          </c:val>
          <c:extLst>
            <c:ext xmlns:c16="http://schemas.microsoft.com/office/drawing/2014/chart" uri="{C3380CC4-5D6E-409C-BE32-E72D297353CC}">
              <c16:uniqueId val="{00000000-BDD7-439C-B812-4C7CF983274A}"/>
            </c:ext>
          </c:extLst>
        </c:ser>
        <c:dLbls>
          <c:showLegendKey val="0"/>
          <c:showVal val="0"/>
          <c:showCatName val="0"/>
          <c:showSerName val="0"/>
          <c:showPercent val="0"/>
          <c:showBubbleSize val="0"/>
        </c:dLbls>
        <c:gapWidth val="219"/>
        <c:overlap val="-27"/>
        <c:axId val="1785905856"/>
        <c:axId val="1785895456"/>
      </c:barChart>
      <c:catAx>
        <c:axId val="178590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5895456"/>
        <c:crosses val="autoZero"/>
        <c:auto val="1"/>
        <c:lblAlgn val="ctr"/>
        <c:lblOffset val="100"/>
        <c:noMultiLvlLbl val="0"/>
      </c:catAx>
      <c:valAx>
        <c:axId val="178589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8590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pivotSource>
    <c:name>[EUROVA_Incidencias_UATs_20260113_v1.xls (3).xlsx]CdM!TablaDinámica3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s-ES" sz="1800" b="1" i="0" baseline="0">
                <a:effectLst/>
              </a:rPr>
              <a:t>Incidencias en curso por estado</a:t>
            </a:r>
            <a:endParaRPr lang="es-ES">
              <a:effectLst/>
            </a:endParaRPr>
          </a:p>
        </c:rich>
      </c:tx>
      <c:layout>
        <c:manualLayout>
          <c:xMode val="edge"/>
          <c:yMode val="edge"/>
          <c:x val="0.21376377952755907"/>
          <c:y val="6.461099531676187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E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3"/>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3"/>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3"/>
          </a:solidFill>
          <a:ln>
            <a:noFill/>
          </a:ln>
          <a:effectLst>
            <a:outerShdw blurRad="254000" sx="102000" sy="102000" algn="ctr" rotWithShape="0">
              <a:prstClr val="black">
                <a:alpha val="20000"/>
              </a:prstClr>
            </a:outerShdw>
          </a:effectLst>
        </c:spPr>
      </c:pivotFmt>
      <c:pivotFmt>
        <c:idx val="17"/>
        <c:spPr>
          <a:solidFill>
            <a:schemeClr val="accent3">
              <a:shade val="65000"/>
            </a:schemeClr>
          </a:solidFill>
          <a:ln>
            <a:noFill/>
          </a:ln>
          <a:effectLst>
            <a:outerShdw blurRad="254000" sx="102000" sy="102000" algn="ctr" rotWithShape="0">
              <a:prstClr val="black">
                <a:alpha val="20000"/>
              </a:prstClr>
            </a:outerShdw>
          </a:effectLst>
        </c:spPr>
      </c:pivotFmt>
      <c:pivotFmt>
        <c:idx val="18"/>
        <c:spPr>
          <a:solidFill>
            <a:schemeClr val="accent3">
              <a:shade val="47000"/>
            </a:schemeClr>
          </a:solidFill>
          <a:ln>
            <a:noFill/>
          </a:ln>
          <a:effectLst>
            <a:outerShdw blurRad="254000" sx="102000" sy="102000" algn="ctr" rotWithShape="0">
              <a:prstClr val="black">
                <a:alpha val="20000"/>
              </a:prstClr>
            </a:outerShdw>
          </a:effectLst>
        </c:spPr>
      </c:pivotFmt>
      <c:pivotFmt>
        <c:idx val="19"/>
        <c:spPr>
          <a:solidFill>
            <a:schemeClr val="accent3">
              <a:tint val="65000"/>
            </a:schemeClr>
          </a:solidFill>
          <a:ln>
            <a:noFill/>
          </a:ln>
          <a:effectLst>
            <a:outerShdw blurRad="254000" sx="102000" sy="102000" algn="ctr" rotWithShape="0">
              <a:prstClr val="black">
                <a:alpha val="20000"/>
              </a:prstClr>
            </a:outerShdw>
          </a:effectLst>
        </c:spPr>
      </c:pivotFmt>
      <c:pivotFmt>
        <c:idx val="20"/>
        <c:spPr>
          <a:solidFill>
            <a:schemeClr val="accent3"/>
          </a:solidFill>
          <a:ln>
            <a:noFill/>
          </a:ln>
          <a:effectLst>
            <a:outerShdw blurRad="254000" sx="102000" sy="102000" algn="ctr" rotWithShape="0">
              <a:prstClr val="black">
                <a:alpha val="20000"/>
              </a:prstClr>
            </a:outerShdw>
          </a:effectLst>
        </c:spPr>
      </c:pivotFmt>
      <c:pivotFmt>
        <c:idx val="21"/>
        <c:spPr>
          <a:solidFill>
            <a:schemeClr val="accent3">
              <a:tint val="83000"/>
            </a:schemeClr>
          </a:solidFill>
          <a:ln>
            <a:noFill/>
          </a:ln>
          <a:effectLst>
            <a:outerShdw blurRad="254000" sx="102000" sy="102000" algn="ctr" rotWithShape="0">
              <a:prstClr val="black">
                <a:alpha val="20000"/>
              </a:prstClr>
            </a:outerShdw>
          </a:effectLst>
        </c:spPr>
      </c:pivotFmt>
      <c:pivotFmt>
        <c:idx val="22"/>
        <c:spPr>
          <a:solidFill>
            <a:schemeClr val="accent3">
              <a:tint val="65000"/>
            </a:schemeClr>
          </a:solidFill>
          <a:ln>
            <a:noFill/>
          </a:ln>
          <a:effectLst>
            <a:outerShdw blurRad="254000" sx="102000" sy="102000" algn="ctr" rotWithShape="0">
              <a:prstClr val="black">
                <a:alpha val="20000"/>
              </a:prstClr>
            </a:outerShdw>
          </a:effectLst>
        </c:spPr>
      </c:pivotFmt>
      <c:pivotFmt>
        <c:idx val="23"/>
        <c:spPr>
          <a:solidFill>
            <a:schemeClr val="accent3">
              <a:tint val="48000"/>
            </a:schemeClr>
          </a:solidFill>
          <a:ln>
            <a:noFill/>
          </a:ln>
          <a:effectLst>
            <a:outerShdw blurRad="254000" sx="102000" sy="102000" algn="ctr" rotWithShape="0">
              <a:prstClr val="black">
                <a:alpha val="20000"/>
              </a:prstClr>
            </a:outerShdw>
          </a:effectLst>
        </c:spPr>
      </c:pivotFmt>
      <c:pivotFmt>
        <c:idx val="24"/>
        <c:spPr>
          <a:solidFill>
            <a:schemeClr val="accent3">
              <a:tint val="48000"/>
            </a:schemeClr>
          </a:solidFill>
          <a:ln>
            <a:noFill/>
          </a:ln>
          <a:effectLst>
            <a:outerShdw blurRad="254000" sx="102000" sy="102000" algn="ctr" rotWithShape="0">
              <a:prstClr val="black">
                <a:alpha val="20000"/>
              </a:prstClr>
            </a:outerShdw>
          </a:effectLst>
        </c:spPr>
      </c:pivotFmt>
      <c:pivotFmt>
        <c:idx val="25"/>
        <c:spPr>
          <a:solidFill>
            <a:schemeClr val="accent3">
              <a:tint val="65000"/>
            </a:schemeClr>
          </a:solidFill>
          <a:ln>
            <a:noFill/>
          </a:ln>
          <a:effectLst>
            <a:outerShdw blurRad="254000" sx="102000" sy="102000" algn="ctr" rotWithShape="0">
              <a:prstClr val="black">
                <a:alpha val="20000"/>
              </a:prstClr>
            </a:outerShdw>
          </a:effectLst>
        </c:spPr>
      </c:pivotFmt>
      <c:pivotFmt>
        <c:idx val="26"/>
        <c:spPr>
          <a:solidFill>
            <a:schemeClr val="accent3">
              <a:tint val="48000"/>
            </a:schemeClr>
          </a:solidFill>
          <a:ln>
            <a:noFill/>
          </a:ln>
          <a:effectLst>
            <a:outerShdw blurRad="254000" sx="102000" sy="102000" algn="ctr" rotWithShape="0">
              <a:prstClr val="black">
                <a:alpha val="20000"/>
              </a:prstClr>
            </a:outerShdw>
          </a:effectLst>
        </c:spPr>
      </c:pivotFmt>
      <c:pivotFmt>
        <c:idx val="27"/>
        <c:spPr>
          <a:solidFill>
            <a:schemeClr val="accent3">
              <a:tint val="81000"/>
            </a:schemeClr>
          </a:solidFill>
          <a:ln>
            <a:noFill/>
          </a:ln>
          <a:effectLst>
            <a:outerShdw blurRad="254000" sx="102000" sy="102000" algn="ctr" rotWithShape="0">
              <a:prstClr val="black">
                <a:alpha val="20000"/>
              </a:prstClr>
            </a:outerShdw>
          </a:effectLst>
        </c:spPr>
      </c:pivotFmt>
      <c:pivotFmt>
        <c:idx val="28"/>
        <c:spPr>
          <a:solidFill>
            <a:schemeClr val="accent3">
              <a:tint val="69000"/>
            </a:schemeClr>
          </a:solidFill>
          <a:ln>
            <a:noFill/>
          </a:ln>
          <a:effectLst>
            <a:outerShdw blurRad="254000" sx="102000" sy="102000" algn="ctr" rotWithShape="0">
              <a:prstClr val="black">
                <a:alpha val="20000"/>
              </a:prstClr>
            </a:outerShdw>
          </a:effectLst>
        </c:spPr>
      </c:pivotFmt>
      <c:pivotFmt>
        <c:idx val="29"/>
        <c:spPr>
          <a:solidFill>
            <a:schemeClr val="accent3">
              <a:tint val="56000"/>
            </a:schemeClr>
          </a:solidFill>
          <a:ln>
            <a:noFill/>
          </a:ln>
          <a:effectLst>
            <a:outerShdw blurRad="254000" sx="102000" sy="102000" algn="ctr" rotWithShape="0">
              <a:prstClr val="black">
                <a:alpha val="20000"/>
              </a:prstClr>
            </a:outerShdw>
          </a:effectLst>
        </c:spPr>
      </c:pivotFmt>
      <c:pivotFmt>
        <c:idx val="30"/>
        <c:spPr>
          <a:solidFill>
            <a:schemeClr val="accent3">
              <a:tint val="43000"/>
            </a:schemeClr>
          </a:solidFill>
          <a:ln>
            <a:noFill/>
          </a:ln>
          <a:effectLst>
            <a:outerShdw blurRad="254000" sx="102000" sy="102000" algn="ctr" rotWithShape="0">
              <a:prstClr val="black">
                <a:alpha val="20000"/>
              </a:prstClr>
            </a:outerShdw>
          </a:effectLst>
        </c:spPr>
      </c:pivotFmt>
      <c:pivotFmt>
        <c:idx val="31"/>
        <c:spPr>
          <a:solidFill>
            <a:schemeClr val="accent3">
              <a:shade val="53000"/>
            </a:schemeClr>
          </a:solidFill>
          <a:ln>
            <a:noFill/>
          </a:ln>
          <a:effectLst>
            <a:outerShdw blurRad="254000" sx="102000" sy="102000" algn="ctr" rotWithShape="0">
              <a:prstClr val="black">
                <a:alpha val="20000"/>
              </a:prstClr>
            </a:outerShdw>
          </a:effectLst>
        </c:spPr>
      </c:pivotFmt>
      <c:pivotFmt>
        <c:idx val="32"/>
        <c:spPr>
          <a:solidFill>
            <a:schemeClr val="accent3">
              <a:shade val="76000"/>
            </a:schemeClr>
          </a:solidFill>
          <a:ln>
            <a:noFill/>
          </a:ln>
          <a:effectLst>
            <a:outerShdw blurRad="254000" sx="102000" sy="102000" algn="ctr" rotWithShape="0">
              <a:prstClr val="black">
                <a:alpha val="20000"/>
              </a:prstClr>
            </a:outerShdw>
          </a:effectLst>
        </c:spPr>
      </c:pivotFmt>
      <c:pivotFmt>
        <c:idx val="33"/>
        <c:spPr>
          <a:solidFill>
            <a:schemeClr val="accent3"/>
          </a:solidFill>
          <a:ln>
            <a:noFill/>
          </a:ln>
          <a:effectLst>
            <a:outerShdw blurRad="254000" sx="102000" sy="102000" algn="ctr" rotWithShape="0">
              <a:prstClr val="black">
                <a:alpha val="20000"/>
              </a:prstClr>
            </a:outerShdw>
          </a:effectLst>
        </c:spPr>
      </c:pivotFmt>
      <c:pivotFmt>
        <c:idx val="34"/>
        <c:spPr>
          <a:solidFill>
            <a:schemeClr val="accent3">
              <a:tint val="77000"/>
            </a:schemeClr>
          </a:solidFill>
          <a:ln>
            <a:noFill/>
          </a:ln>
          <a:effectLst>
            <a:outerShdw blurRad="254000" sx="102000" sy="102000" algn="ctr" rotWithShape="0">
              <a:prstClr val="black">
                <a:alpha val="20000"/>
              </a:prstClr>
            </a:outerShdw>
          </a:effectLst>
        </c:spPr>
      </c:pivotFmt>
      <c:pivotFmt>
        <c:idx val="35"/>
        <c:spPr>
          <a:solidFill>
            <a:schemeClr val="accent3">
              <a:tint val="54000"/>
            </a:schemeClr>
          </a:solidFill>
          <a:ln>
            <a:noFill/>
          </a:ln>
          <a:effectLst>
            <a:outerShdw blurRad="254000" sx="102000" sy="102000" algn="ctr" rotWithShape="0">
              <a:prstClr val="black">
                <a:alpha val="20000"/>
              </a:prstClr>
            </a:outerShdw>
          </a:effectLst>
        </c:spPr>
      </c:pivotFmt>
      <c:pivotFmt>
        <c:idx val="36"/>
        <c:spPr>
          <a:solidFill>
            <a:schemeClr val="accent3">
              <a:shade val="68000"/>
            </a:schemeClr>
          </a:solidFill>
          <a:ln>
            <a:noFill/>
          </a:ln>
          <a:effectLst>
            <a:outerShdw blurRad="254000" sx="102000" sy="102000" algn="ctr" rotWithShape="0">
              <a:prstClr val="black">
                <a:alpha val="20000"/>
              </a:prstClr>
            </a:outerShdw>
          </a:effectLst>
        </c:spPr>
      </c:pivotFmt>
      <c:pivotFmt>
        <c:idx val="37"/>
        <c:spPr>
          <a:solidFill>
            <a:schemeClr val="accent3">
              <a:tint val="94000"/>
            </a:schemeClr>
          </a:solidFill>
          <a:ln>
            <a:noFill/>
          </a:ln>
          <a:effectLst>
            <a:outerShdw blurRad="254000" sx="102000" sy="102000" algn="ctr" rotWithShape="0">
              <a:prstClr val="black">
                <a:alpha val="20000"/>
              </a:prstClr>
            </a:outerShdw>
          </a:effectLst>
        </c:spPr>
      </c:pivotFmt>
      <c:pivotFmt>
        <c:idx val="38"/>
        <c:spPr>
          <a:solidFill>
            <a:schemeClr val="accent3">
              <a:tint val="81000"/>
            </a:schemeClr>
          </a:solidFill>
          <a:ln>
            <a:noFill/>
          </a:ln>
          <a:effectLst>
            <a:outerShdw blurRad="254000" sx="102000" sy="102000" algn="ctr" rotWithShape="0">
              <a:prstClr val="black">
                <a:alpha val="20000"/>
              </a:prstClr>
            </a:outerShdw>
          </a:effectLst>
        </c:spPr>
      </c:pivotFmt>
      <c:pivotFmt>
        <c:idx val="39"/>
        <c:spPr>
          <a:solidFill>
            <a:schemeClr val="accent3">
              <a:tint val="69000"/>
            </a:schemeClr>
          </a:solidFill>
          <a:ln>
            <a:noFill/>
          </a:ln>
          <a:effectLst>
            <a:outerShdw blurRad="254000" sx="102000" sy="102000" algn="ctr" rotWithShape="0">
              <a:prstClr val="black">
                <a:alpha val="20000"/>
              </a:prstClr>
            </a:outerShdw>
          </a:effectLst>
        </c:spPr>
      </c:pivotFmt>
      <c:pivotFmt>
        <c:idx val="40"/>
        <c:spPr>
          <a:solidFill>
            <a:schemeClr val="accent3">
              <a:tint val="56000"/>
            </a:schemeClr>
          </a:solidFill>
          <a:ln>
            <a:noFill/>
          </a:ln>
          <a:effectLst>
            <a:outerShdw blurRad="254000" sx="102000" sy="102000" algn="ctr" rotWithShape="0">
              <a:prstClr val="black">
                <a:alpha val="20000"/>
              </a:prstClr>
            </a:outerShdw>
          </a:effectLst>
        </c:spPr>
      </c:pivotFmt>
      <c:pivotFmt>
        <c:idx val="41"/>
        <c:spPr>
          <a:solidFill>
            <a:schemeClr val="accent3">
              <a:tint val="43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997550306211724"/>
          <c:y val="0.25953469970665433"/>
          <c:w val="0.46740529308836398"/>
          <c:h val="0.68736072512994695"/>
        </c:manualLayout>
      </c:layout>
      <c:pieChart>
        <c:varyColors val="1"/>
        <c:ser>
          <c:idx val="0"/>
          <c:order val="0"/>
          <c:tx>
            <c:strRef>
              <c:f>CdM!$B$41</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F8-4CE0-9E85-3DB99E5F6234}"/>
              </c:ext>
            </c:extLst>
          </c:dPt>
          <c:dPt>
            <c:idx val="1"/>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F8-4CE0-9E85-3DB99E5F6234}"/>
              </c:ext>
            </c:extLst>
          </c:dPt>
          <c:dPt>
            <c:idx val="2"/>
            <c:bubble3D val="0"/>
            <c:spPr>
              <a:solidFill>
                <a:schemeClr val="accent3">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F8-4CE0-9E85-3DB99E5F6234}"/>
              </c:ext>
            </c:extLst>
          </c:dPt>
          <c:dPt>
            <c:idx val="3"/>
            <c:bubble3D val="0"/>
            <c:spPr>
              <a:solidFill>
                <a:schemeClr val="accent3">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F8-4CE0-9E85-3DB99E5F6234}"/>
              </c:ext>
            </c:extLst>
          </c:dPt>
          <c:dPt>
            <c:idx val="4"/>
            <c:bubble3D val="0"/>
            <c:spPr>
              <a:solidFill>
                <a:schemeClr val="accent3">
                  <a:tint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C21-4BF2-A508-5DC6095EC537}"/>
              </c:ext>
            </c:extLst>
          </c:dPt>
          <c:dPt>
            <c:idx val="5"/>
            <c:bubble3D val="0"/>
            <c:spPr>
              <a:solidFill>
                <a:schemeClr val="accent3">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C21-4BF2-A508-5DC6095EC537}"/>
              </c:ext>
            </c:extLst>
          </c:dPt>
          <c:dPt>
            <c:idx val="6"/>
            <c:bubble3D val="0"/>
            <c:spPr>
              <a:solidFill>
                <a:schemeClr val="accent3">
                  <a:tint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C21-4BF2-A508-5DC6095EC537}"/>
              </c:ext>
            </c:extLst>
          </c:dPt>
          <c:dPt>
            <c:idx val="7"/>
            <c:bubble3D val="0"/>
            <c:spPr>
              <a:solidFill>
                <a:schemeClr val="accent3">
                  <a:tint val="1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DD7-4AC4-8399-B06D2989CAE6}"/>
              </c:ext>
            </c:extLst>
          </c:dPt>
          <c:dPt>
            <c:idx val="8"/>
            <c:bubble3D val="0"/>
            <c:spPr>
              <a:solidFill>
                <a:schemeClr val="accent3">
                  <a:tint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DD7-4AC4-8399-B06D2989CAE6}"/>
              </c:ext>
            </c:extLst>
          </c:dPt>
          <c:dPt>
            <c:idx val="9"/>
            <c:bubble3D val="0"/>
            <c:spPr>
              <a:solidFill>
                <a:schemeClr val="accent3">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DD7-4AC4-8399-B06D2989CA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CdM!$A$42:$A$43</c:f>
              <c:strCache>
                <c:ptCount val="1"/>
                <c:pt idx="0">
                  <c:v>(en blanco)</c:v>
                </c:pt>
              </c:strCache>
            </c:strRef>
          </c:cat>
          <c:val>
            <c:numRef>
              <c:f>CdM!$B$42:$B$43</c:f>
              <c:numCache>
                <c:formatCode>General</c:formatCode>
                <c:ptCount val="1"/>
              </c:numCache>
            </c:numRef>
          </c:val>
          <c:extLst>
            <c:ext xmlns:c16="http://schemas.microsoft.com/office/drawing/2014/chart" uri="{C3380CC4-5D6E-409C-BE32-E72D297353CC}">
              <c16:uniqueId val="{00000000-2264-4022-AD27-82E61A01A7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pivotSource>
    <c:name>[EUROVA_Incidencias_UATs_20260113_v1.xls (3).xlsx]CdM!TablaDinámica4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sz="1800" b="1" i="0" baseline="0">
                <a:effectLst/>
              </a:rPr>
              <a:t>Incidencias en curso por prioridad</a:t>
            </a:r>
            <a:endParaRPr lang="es-ES">
              <a:effectLst/>
            </a:endParaRPr>
          </a:p>
        </c:rich>
      </c:tx>
      <c:layout>
        <c:manualLayout>
          <c:xMode val="edge"/>
          <c:yMode val="edge"/>
          <c:x val="0.21535411198600174"/>
          <c:y val="7.50283052853687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ivotFmts>
      <c:pivotFmt>
        <c:idx val="0"/>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pivotFmt>
      <c:pivotFmt>
        <c:idx val="2"/>
        <c:spPr>
          <a:solidFill>
            <a:schemeClr val="accent3"/>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3"/>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
        <c:idx val="6"/>
        <c:spPr>
          <a:solidFill>
            <a:schemeClr val="accent3"/>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3">
              <a:shade val="58000"/>
            </a:schemeClr>
          </a:solidFill>
          <a:ln>
            <a:noFill/>
          </a:ln>
          <a:effectLst>
            <a:outerShdw blurRad="254000" sx="102000" sy="102000" algn="ctr" rotWithShape="0">
              <a:prstClr val="black">
                <a:alpha val="20000"/>
              </a:prstClr>
            </a:outerShdw>
          </a:effectLst>
        </c:spPr>
      </c:pivotFmt>
      <c:pivotFmt>
        <c:idx val="11"/>
        <c:spPr>
          <a:solidFill>
            <a:schemeClr val="accent3">
              <a:shade val="86000"/>
            </a:schemeClr>
          </a:solidFill>
          <a:ln>
            <a:noFill/>
          </a:ln>
          <a:effectLst>
            <a:outerShdw blurRad="254000" sx="102000" sy="102000" algn="ctr" rotWithShape="0">
              <a:prstClr val="black">
                <a:alpha val="20000"/>
              </a:prstClr>
            </a:outerShdw>
          </a:effectLst>
        </c:spPr>
      </c:pivotFmt>
      <c:pivotFmt>
        <c:idx val="12"/>
        <c:spPr>
          <a:solidFill>
            <a:schemeClr val="accent3">
              <a:tint val="86000"/>
            </a:schemeClr>
          </a:solidFill>
          <a:ln>
            <a:noFill/>
          </a:ln>
          <a:effectLst>
            <a:outerShdw blurRad="254000" sx="102000" sy="102000" algn="ctr" rotWithShape="0">
              <a:prstClr val="black">
                <a:alpha val="20000"/>
              </a:prstClr>
            </a:outerShdw>
          </a:effectLst>
        </c:spPr>
      </c:pivotFmt>
      <c:pivotFmt>
        <c:idx val="13"/>
        <c:spPr>
          <a:solidFill>
            <a:schemeClr val="accent3"/>
          </a:solidFill>
          <a:ln>
            <a:noFill/>
          </a:ln>
          <a:effectLst>
            <a:outerShdw blurRad="254000" sx="102000" sy="102000" algn="ctr" rotWithShape="0">
              <a:prstClr val="black">
                <a:alpha val="20000"/>
              </a:prstClr>
            </a:outerShdw>
          </a:effectLst>
        </c:spPr>
      </c:pivotFmt>
      <c:pivotFmt>
        <c:idx val="14"/>
        <c:spPr>
          <a:solidFill>
            <a:schemeClr val="accent3"/>
          </a:solidFill>
          <a:ln>
            <a:noFill/>
          </a:ln>
          <a:effectLst>
            <a:outerShdw blurRad="254000" sx="102000" sy="102000" algn="ctr" rotWithShape="0">
              <a:prstClr val="black">
                <a:alpha val="20000"/>
              </a:prstClr>
            </a:outerShdw>
          </a:effectLst>
        </c:spPr>
      </c:pivotFmt>
      <c:pivotFmt>
        <c:idx val="15"/>
        <c:spPr>
          <a:solidFill>
            <a:schemeClr val="accent3">
              <a:tint val="58000"/>
            </a:schemeClr>
          </a:solidFill>
          <a:ln>
            <a:noFill/>
          </a:ln>
          <a:effectLst>
            <a:outerShdw blurRad="254000" sx="102000" sy="102000" algn="ctr" rotWithShape="0">
              <a:prstClr val="black">
                <a:alpha val="20000"/>
              </a:prstClr>
            </a:outerShdw>
          </a:effectLst>
        </c:spPr>
      </c:pivotFmt>
      <c:pivotFmt>
        <c:idx val="16"/>
        <c:spPr>
          <a:solidFill>
            <a:schemeClr val="accent3">
              <a:tint val="58000"/>
            </a:schemeClr>
          </a:solidFill>
          <a:ln>
            <a:noFill/>
          </a:ln>
          <a:effectLst>
            <a:outerShdw blurRad="254000" sx="102000" sy="102000" algn="ctr" rotWithShape="0">
              <a:prstClr val="black">
                <a:alpha val="20000"/>
              </a:prstClr>
            </a:outerShdw>
          </a:effectLst>
        </c:spPr>
      </c:pivotFmt>
      <c:pivotFmt>
        <c:idx val="17"/>
        <c:spPr>
          <a:solidFill>
            <a:schemeClr val="accent3">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365857392825897"/>
          <c:y val="0.23026832123925681"/>
          <c:w val="0.46240529308836398"/>
          <c:h val="0.68000778395347639"/>
        </c:manualLayout>
      </c:layout>
      <c:pieChart>
        <c:varyColors val="1"/>
        <c:ser>
          <c:idx val="0"/>
          <c:order val="0"/>
          <c:tx>
            <c:strRef>
              <c:f>CdM!$B$67</c:f>
              <c:strCache>
                <c:ptCount val="1"/>
                <c:pt idx="0">
                  <c:v>Total</c:v>
                </c:pt>
              </c:strCache>
            </c:strRef>
          </c:tx>
          <c:dPt>
            <c:idx val="0"/>
            <c:bubble3D val="0"/>
            <c:spPr>
              <a:solidFill>
                <a:schemeClr val="accent3">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49-40EC-B594-0B2F984F9BD4}"/>
              </c:ext>
            </c:extLst>
          </c:dPt>
          <c:dPt>
            <c:idx val="1"/>
            <c:bubble3D val="0"/>
            <c:spPr>
              <a:solidFill>
                <a:schemeClr val="accent3">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49-40EC-B594-0B2F984F9BD4}"/>
              </c:ext>
            </c:extLst>
          </c:dPt>
          <c:dPt>
            <c:idx val="2"/>
            <c:bubble3D val="0"/>
            <c:spPr>
              <a:solidFill>
                <a:schemeClr val="accent3">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49-40EC-B594-0B2F984F9BD4}"/>
              </c:ext>
            </c:extLst>
          </c:dPt>
          <c:dPt>
            <c:idx val="3"/>
            <c:bubble3D val="0"/>
            <c:spPr>
              <a:solidFill>
                <a:schemeClr val="accent3">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962-43FE-80E1-54F429EE2A23}"/>
              </c:ext>
            </c:extLst>
          </c:dPt>
          <c:dPt>
            <c:idx val="4"/>
            <c:bubble3D val="0"/>
            <c:spPr>
              <a:solidFill>
                <a:schemeClr val="accent3">
                  <a:tint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230-49D7-9143-1EEE0A8BFA1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CdM!$A$68:$A$69</c:f>
              <c:strCache>
                <c:ptCount val="1"/>
                <c:pt idx="0">
                  <c:v>(en blanco)</c:v>
                </c:pt>
              </c:strCache>
            </c:strRef>
          </c:cat>
          <c:val>
            <c:numRef>
              <c:f>CdM!$B$68:$B$69</c:f>
              <c:numCache>
                <c:formatCode>General</c:formatCode>
                <c:ptCount val="1"/>
              </c:numCache>
            </c:numRef>
          </c:val>
          <c:extLst>
            <c:ext xmlns:c16="http://schemas.microsoft.com/office/drawing/2014/chart" uri="{C3380CC4-5D6E-409C-BE32-E72D297353CC}">
              <c16:uniqueId val="{00000000-6B39-4F83-BE2A-A0D28DE472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sz="1400">
                <a:solidFill>
                  <a:schemeClr val="tx1"/>
                </a:solidFill>
              </a:rPr>
              <a:t>Evolución del número de incidencias según su estado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manualLayout>
          <c:layoutTarget val="inner"/>
          <c:xMode val="edge"/>
          <c:yMode val="edge"/>
          <c:x val="6.8283348036230124E-2"/>
          <c:y val="0.17634259259259263"/>
          <c:w val="0.90859259137873116"/>
          <c:h val="0.61498432487605714"/>
        </c:manualLayout>
      </c:layout>
      <c:lineChart>
        <c:grouping val="standard"/>
        <c:varyColors val="0"/>
        <c:ser>
          <c:idx val="0"/>
          <c:order val="0"/>
          <c:tx>
            <c:strRef>
              <c:f>CdM!$L$100</c:f>
              <c:strCache>
                <c:ptCount val="1"/>
                <c:pt idx="0">
                  <c:v>Abiertas</c:v>
                </c:pt>
              </c:strCache>
            </c:strRef>
          </c:tx>
          <c:spPr>
            <a:ln w="31750" cap="rnd">
              <a:solidFill>
                <a:schemeClr val="accent3">
                  <a:shade val="65000"/>
                </a:schemeClr>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CdM!$K$101:$K$106</c:f>
              <c:numCache>
                <c:formatCode>d\-mmm</c:formatCode>
                <c:ptCount val="6"/>
                <c:pt idx="0">
                  <c:v>44287</c:v>
                </c:pt>
                <c:pt idx="1">
                  <c:v>44317</c:v>
                </c:pt>
                <c:pt idx="2">
                  <c:v>44348</c:v>
                </c:pt>
                <c:pt idx="3">
                  <c:v>44378</c:v>
                </c:pt>
                <c:pt idx="4">
                  <c:v>44409</c:v>
                </c:pt>
                <c:pt idx="5">
                  <c:v>44440</c:v>
                </c:pt>
              </c:numCache>
            </c:numRef>
          </c:cat>
          <c:val>
            <c:numRef>
              <c:f>CdM!$L$101:$L$106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CC36-48B3-A2C4-424E1C123E51}"/>
            </c:ext>
          </c:extLst>
        </c:ser>
        <c:ser>
          <c:idx val="1"/>
          <c:order val="1"/>
          <c:tx>
            <c:strRef>
              <c:f>CdM!$M$100</c:f>
              <c:strCache>
                <c:ptCount val="1"/>
                <c:pt idx="0">
                  <c:v>Entregadas</c:v>
                </c:pt>
              </c:strCache>
            </c:strRef>
          </c:tx>
          <c:spPr>
            <a:ln w="31750" cap="rnd">
              <a:solidFill>
                <a:schemeClr val="accent3"/>
              </a:solidFill>
              <a:round/>
            </a:ln>
            <a:effectLst>
              <a:outerShdw blurRad="40000" dist="23000" dir="5400000" rotWithShape="0">
                <a:srgbClr val="000000">
                  <a:alpha val="35000"/>
                </a:srgbClr>
              </a:outerShdw>
            </a:effectLst>
          </c:spPr>
          <c:marker>
            <c:symbol val="none"/>
          </c:marker>
          <c:dLbls>
            <c:dLbl>
              <c:idx val="0"/>
              <c:layout>
                <c:manualLayout>
                  <c:x val="-5.7629067494538389E-2"/>
                  <c:y val="-4.39468503937008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36-48B3-A2C4-424E1C123E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CdM!$K$101:$K$106</c:f>
              <c:numCache>
                <c:formatCode>d\-mmm</c:formatCode>
                <c:ptCount val="6"/>
                <c:pt idx="0">
                  <c:v>44287</c:v>
                </c:pt>
                <c:pt idx="1">
                  <c:v>44317</c:v>
                </c:pt>
                <c:pt idx="2">
                  <c:v>44348</c:v>
                </c:pt>
                <c:pt idx="3">
                  <c:v>44378</c:v>
                </c:pt>
                <c:pt idx="4">
                  <c:v>44409</c:v>
                </c:pt>
                <c:pt idx="5">
                  <c:v>44440</c:v>
                </c:pt>
              </c:numCache>
            </c:numRef>
          </c:cat>
          <c:val>
            <c:numRef>
              <c:f>CdM!$M$101:$M$106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CC36-48B3-A2C4-424E1C123E51}"/>
            </c:ext>
          </c:extLst>
        </c:ser>
        <c:ser>
          <c:idx val="2"/>
          <c:order val="2"/>
          <c:tx>
            <c:strRef>
              <c:f>CdM!$N$100</c:f>
              <c:strCache>
                <c:ptCount val="1"/>
                <c:pt idx="0">
                  <c:v>Cerradas</c:v>
                </c:pt>
              </c:strCache>
            </c:strRef>
          </c:tx>
          <c:spPr>
            <a:ln w="31750" cap="rnd">
              <a:solidFill>
                <a:schemeClr val="accent3">
                  <a:tint val="65000"/>
                </a:schemeClr>
              </a:solidFill>
              <a:round/>
            </a:ln>
            <a:effectLst>
              <a:outerShdw blurRad="40000" dist="23000" dir="5400000" rotWithShape="0">
                <a:srgbClr val="000000">
                  <a:alpha val="35000"/>
                </a:srgbClr>
              </a:outerShdw>
            </a:effectLst>
          </c:spPr>
          <c:marker>
            <c:symbol val="none"/>
          </c:marker>
          <c:dLbls>
            <c:dLbl>
              <c:idx val="0"/>
              <c:layout>
                <c:manualLayout>
                  <c:x val="-6.4527998160285177E-2"/>
                  <c:y val="2.5428331875182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36-48B3-A2C4-424E1C123E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E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CdM!$K$101:$K$106</c:f>
              <c:numCache>
                <c:formatCode>d\-mmm</c:formatCode>
                <c:ptCount val="6"/>
                <c:pt idx="0">
                  <c:v>44287</c:v>
                </c:pt>
                <c:pt idx="1">
                  <c:v>44317</c:v>
                </c:pt>
                <c:pt idx="2">
                  <c:v>44348</c:v>
                </c:pt>
                <c:pt idx="3">
                  <c:v>44378</c:v>
                </c:pt>
                <c:pt idx="4">
                  <c:v>44409</c:v>
                </c:pt>
                <c:pt idx="5">
                  <c:v>44440</c:v>
                </c:pt>
              </c:numCache>
            </c:numRef>
          </c:cat>
          <c:val>
            <c:numRef>
              <c:f>CdM!$N$101:$N$106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4-CC36-48B3-A2C4-424E1C123E51}"/>
            </c:ext>
          </c:extLst>
        </c:ser>
        <c:dLbls>
          <c:dLblPos val="ctr"/>
          <c:showLegendKey val="0"/>
          <c:showVal val="1"/>
          <c:showCatName val="0"/>
          <c:showSerName val="0"/>
          <c:showPercent val="0"/>
          <c:showBubbleSize val="0"/>
        </c:dLbls>
        <c:smooth val="0"/>
        <c:axId val="847404528"/>
        <c:axId val="847397040"/>
      </c:lineChart>
      <c:dateAx>
        <c:axId val="847404528"/>
        <c:scaling>
          <c:orientation val="minMax"/>
          <c:max val="44440"/>
          <c:min val="44287"/>
        </c:scaling>
        <c:delete val="0"/>
        <c:axPos val="b"/>
        <c:numFmt formatCode="[$-C0A]mmmm\-yy;@"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847397040"/>
        <c:crosses val="autoZero"/>
        <c:auto val="0"/>
        <c:lblOffset val="100"/>
        <c:baseTimeUnit val="months"/>
      </c:dateAx>
      <c:valAx>
        <c:axId val="8473970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847404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ES" sz="1400">
                <a:solidFill>
                  <a:schemeClr val="tx1"/>
                </a:solidFill>
              </a:rPr>
              <a:t>Evolución del número de incidencias abiertas-cerradas</a:t>
            </a:r>
            <a:r>
              <a:rPr lang="es-ES" sz="1400" baseline="0">
                <a:solidFill>
                  <a:schemeClr val="tx1"/>
                </a:solidFill>
              </a:rPr>
              <a:t> semanalmente</a:t>
            </a:r>
            <a:endParaRPr lang="es-ES" sz="140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ES"/>
        </a:p>
      </c:txPr>
    </c:title>
    <c:autoTitleDeleted val="0"/>
    <c:plotArea>
      <c:layout>
        <c:manualLayout>
          <c:layoutTarget val="inner"/>
          <c:xMode val="edge"/>
          <c:yMode val="edge"/>
          <c:x val="6.8283348036230124E-2"/>
          <c:y val="0.17634259259259263"/>
          <c:w val="0.90859259137873116"/>
          <c:h val="0.5350481819268994"/>
        </c:manualLayout>
      </c:layout>
      <c:barChart>
        <c:barDir val="col"/>
        <c:grouping val="clustered"/>
        <c:varyColors val="0"/>
        <c:ser>
          <c:idx val="0"/>
          <c:order val="0"/>
          <c:tx>
            <c:strRef>
              <c:f>CdM!$G$127</c:f>
              <c:strCache>
                <c:ptCount val="1"/>
                <c:pt idx="0">
                  <c:v>Abiertas</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Lbl>
              <c:idx val="9"/>
              <c:layout>
                <c:manualLayout>
                  <c:x val="-3.691399040236317E-3"/>
                  <c:y val="-7.327386709651794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F4-4BF0-AACA-749D681F9E15}"/>
                </c:ext>
              </c:extLst>
            </c:dLbl>
            <c:dLbl>
              <c:idx val="10"/>
              <c:layout>
                <c:manualLayout>
                  <c:x val="-1.8456995201181247E-3"/>
                  <c:y val="-3.99680255795363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F4-4BF0-AACA-749D681F9E15}"/>
                </c:ext>
              </c:extLst>
            </c:dLbl>
            <c:dLbl>
              <c:idx val="15"/>
              <c:layout>
                <c:manualLayout>
                  <c:x val="0"/>
                  <c:y val="-1.9984012789768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F4-4BF0-AACA-749D681F9E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CdM!$I$128:$I$151</c:f>
              <c:numCache>
                <c:formatCode>d\-mmm</c:formatCode>
                <c:ptCount val="24"/>
                <c:pt idx="0">
                  <c:v>44284</c:v>
                </c:pt>
                <c:pt idx="1">
                  <c:v>44291</c:v>
                </c:pt>
                <c:pt idx="2">
                  <c:v>44298</c:v>
                </c:pt>
                <c:pt idx="3">
                  <c:v>44305</c:v>
                </c:pt>
                <c:pt idx="4">
                  <c:v>44312</c:v>
                </c:pt>
                <c:pt idx="5">
                  <c:v>44319</c:v>
                </c:pt>
                <c:pt idx="6">
                  <c:v>44326</c:v>
                </c:pt>
                <c:pt idx="7">
                  <c:v>44333</c:v>
                </c:pt>
                <c:pt idx="8">
                  <c:v>44340</c:v>
                </c:pt>
                <c:pt idx="9">
                  <c:v>44347</c:v>
                </c:pt>
                <c:pt idx="10">
                  <c:v>44354</c:v>
                </c:pt>
                <c:pt idx="11">
                  <c:v>44361</c:v>
                </c:pt>
                <c:pt idx="12">
                  <c:v>44368</c:v>
                </c:pt>
                <c:pt idx="13">
                  <c:v>44375</c:v>
                </c:pt>
                <c:pt idx="14">
                  <c:v>44382</c:v>
                </c:pt>
                <c:pt idx="15">
                  <c:v>44389</c:v>
                </c:pt>
                <c:pt idx="16">
                  <c:v>44396</c:v>
                </c:pt>
                <c:pt idx="17">
                  <c:v>44403</c:v>
                </c:pt>
                <c:pt idx="18">
                  <c:v>44410</c:v>
                </c:pt>
                <c:pt idx="19">
                  <c:v>44417</c:v>
                </c:pt>
                <c:pt idx="20">
                  <c:v>44424</c:v>
                </c:pt>
                <c:pt idx="21">
                  <c:v>44431</c:v>
                </c:pt>
                <c:pt idx="22">
                  <c:v>44438</c:v>
                </c:pt>
                <c:pt idx="23">
                  <c:v>44445</c:v>
                </c:pt>
              </c:numCache>
            </c:numRef>
          </c:cat>
          <c:val>
            <c:numRef>
              <c:f>CdM!$G$128:$G$151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1E9-4A43-A4D1-0B6D4B7E2D48}"/>
            </c:ext>
          </c:extLst>
        </c:ser>
        <c:ser>
          <c:idx val="1"/>
          <c:order val="1"/>
          <c:tx>
            <c:strRef>
              <c:f>CdM!$H$127</c:f>
              <c:strCache>
                <c:ptCount val="1"/>
                <c:pt idx="0">
                  <c:v>Realizadas</c:v>
                </c:pt>
              </c:strCache>
            </c:strRef>
          </c:tx>
          <c:spPr>
            <a:solidFill>
              <a:srgbClr val="92D050"/>
            </a:solidFill>
            <a:ln>
              <a:noFill/>
            </a:ln>
            <a:effectLst>
              <a:outerShdw blurRad="40000" dist="23000" dir="5400000" rotWithShape="0">
                <a:srgbClr val="000000">
                  <a:alpha val="35000"/>
                </a:srgbClr>
              </a:outerShdw>
            </a:effectLst>
          </c:spPr>
          <c:invertIfNegative val="0"/>
          <c:dLbls>
            <c:dLbl>
              <c:idx val="0"/>
              <c:layout>
                <c:manualLayout>
                  <c:x val="3.2789505962917426E-3"/>
                  <c:y val="4.01474096313485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9-4A43-A4D1-0B6D4B7E2D48}"/>
                </c:ext>
              </c:extLst>
            </c:dLbl>
            <c:dLbl>
              <c:idx val="6"/>
              <c:layout>
                <c:manualLayout>
                  <c:x val="5.537098560354374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39-42C4-85A6-9E294F9B3D62}"/>
                </c:ext>
              </c:extLst>
            </c:dLbl>
            <c:dLbl>
              <c:idx val="9"/>
              <c:layout>
                <c:manualLayout>
                  <c:x val="5.5370985603543747E-3"/>
                  <c:y val="-7.327386709651794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F4-4BF0-AACA-749D681F9E15}"/>
                </c:ext>
              </c:extLst>
            </c:dLbl>
            <c:dLbl>
              <c:idx val="10"/>
              <c:layout>
                <c:manualLayout>
                  <c:x val="7.3827980804724988E-3"/>
                  <c:y val="1.1990407673860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F4-4BF0-AACA-749D681F9E15}"/>
                </c:ext>
              </c:extLst>
            </c:dLbl>
            <c:dLbl>
              <c:idx val="17"/>
              <c:layout>
                <c:manualLayout>
                  <c:x val="3.6913990402362494E-3"/>
                  <c:y val="-7.99360511590727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F4-4BF0-AACA-749D681F9E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CdM!$I$128:$I$151</c:f>
              <c:numCache>
                <c:formatCode>d\-mmm</c:formatCode>
                <c:ptCount val="24"/>
                <c:pt idx="0">
                  <c:v>44284</c:v>
                </c:pt>
                <c:pt idx="1">
                  <c:v>44291</c:v>
                </c:pt>
                <c:pt idx="2">
                  <c:v>44298</c:v>
                </c:pt>
                <c:pt idx="3">
                  <c:v>44305</c:v>
                </c:pt>
                <c:pt idx="4">
                  <c:v>44312</c:v>
                </c:pt>
                <c:pt idx="5">
                  <c:v>44319</c:v>
                </c:pt>
                <c:pt idx="6">
                  <c:v>44326</c:v>
                </c:pt>
                <c:pt idx="7">
                  <c:v>44333</c:v>
                </c:pt>
                <c:pt idx="8">
                  <c:v>44340</c:v>
                </c:pt>
                <c:pt idx="9">
                  <c:v>44347</c:v>
                </c:pt>
                <c:pt idx="10">
                  <c:v>44354</c:v>
                </c:pt>
                <c:pt idx="11">
                  <c:v>44361</c:v>
                </c:pt>
                <c:pt idx="12">
                  <c:v>44368</c:v>
                </c:pt>
                <c:pt idx="13">
                  <c:v>44375</c:v>
                </c:pt>
                <c:pt idx="14">
                  <c:v>44382</c:v>
                </c:pt>
                <c:pt idx="15">
                  <c:v>44389</c:v>
                </c:pt>
                <c:pt idx="16">
                  <c:v>44396</c:v>
                </c:pt>
                <c:pt idx="17">
                  <c:v>44403</c:v>
                </c:pt>
                <c:pt idx="18">
                  <c:v>44410</c:v>
                </c:pt>
                <c:pt idx="19">
                  <c:v>44417</c:v>
                </c:pt>
                <c:pt idx="20">
                  <c:v>44424</c:v>
                </c:pt>
                <c:pt idx="21">
                  <c:v>44431</c:v>
                </c:pt>
                <c:pt idx="22">
                  <c:v>44438</c:v>
                </c:pt>
                <c:pt idx="23">
                  <c:v>44445</c:v>
                </c:pt>
              </c:numCache>
            </c:numRef>
          </c:cat>
          <c:val>
            <c:numRef>
              <c:f>CdM!$H$128:$H$151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1E9-4A43-A4D1-0B6D4B7E2D48}"/>
            </c:ext>
          </c:extLst>
        </c:ser>
        <c:dLbls>
          <c:dLblPos val="ctr"/>
          <c:showLegendKey val="0"/>
          <c:showVal val="1"/>
          <c:showCatName val="0"/>
          <c:showSerName val="0"/>
          <c:showPercent val="0"/>
          <c:showBubbleSize val="0"/>
        </c:dLbls>
        <c:gapWidth val="150"/>
        <c:axId val="847404528"/>
        <c:axId val="847397040"/>
      </c:barChart>
      <c:catAx>
        <c:axId val="847404528"/>
        <c:scaling>
          <c:orientation val="minMax"/>
        </c:scaling>
        <c:delete val="0"/>
        <c:axPos val="b"/>
        <c:numFmt formatCode="[$-C0A]dd\-mmm\-yy;@"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847397040"/>
        <c:crosses val="autoZero"/>
        <c:auto val="0"/>
        <c:lblAlgn val="ctr"/>
        <c:lblOffset val="100"/>
        <c:noMultiLvlLbl val="0"/>
      </c:catAx>
      <c:valAx>
        <c:axId val="8473970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crossAx val="847404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[EUROVA_Incidencias_UATs_20260113_v1.xls (3).xlsx]Status!TablaDinámica1</c:name>
    <c:fmtId val="23"/>
  </c:pivotSource>
  <c:chart>
    <c:autoTitleDeleted val="0"/>
    <c:pivotFmts>
      <c:pivotFmt>
        <c:idx val="0"/>
        <c:spPr>
          <a:solidFill>
            <a:srgbClr val="0070C0"/>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lumMod val="60000"/>
              <a:lumOff val="4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Status!$B$4:$B$5</c:f>
              <c:strCache>
                <c:ptCount val="1"/>
                <c:pt idx="0">
                  <c:v>Finanzas</c:v>
                </c:pt>
              </c:strCache>
            </c:strRef>
          </c:tx>
          <c:spPr>
            <a:solidFill>
              <a:schemeClr val="tx2">
                <a:lumMod val="20000"/>
                <a:lumOff val="80000"/>
              </a:schemeClr>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Status!$B$6:$B$16</c:f>
              <c:numCache>
                <c:formatCode>General</c:formatCode>
                <c:ptCount val="10"/>
                <c:pt idx="0">
                  <c:v>2</c:v>
                </c:pt>
                <c:pt idx="1">
                  <c:v>1</c:v>
                </c:pt>
                <c:pt idx="2">
                  <c:v>13</c:v>
                </c:pt>
                <c:pt idx="4">
                  <c:v>7</c:v>
                </c:pt>
                <c:pt idx="5">
                  <c:v>1</c:v>
                </c:pt>
                <c:pt idx="6">
                  <c:v>46</c:v>
                </c:pt>
                <c:pt idx="7">
                  <c:v>5</c:v>
                </c:pt>
                <c:pt idx="8">
                  <c:v>2</c:v>
                </c:pt>
                <c:pt idx="9">
                  <c:v>1</c:v>
                </c:pt>
              </c:numCache>
            </c:numRef>
          </c:val>
          <c:extLst>
            <c:ext xmlns:c16="http://schemas.microsoft.com/office/drawing/2014/chart" uri="{C3380CC4-5D6E-409C-BE32-E72D297353CC}">
              <c16:uniqueId val="{00000000-B7B8-45BF-8918-9E3D067E5597}"/>
            </c:ext>
          </c:extLst>
        </c:ser>
        <c:ser>
          <c:idx val="1"/>
          <c:order val="1"/>
          <c:tx>
            <c:strRef>
              <c:f>Status!$C$4:$C$5</c:f>
              <c:strCache>
                <c:ptCount val="1"/>
                <c:pt idx="0">
                  <c:v>Gestión</c:v>
                </c:pt>
              </c:strCache>
            </c:strRef>
          </c:tx>
          <c:spPr>
            <a:solidFill>
              <a:schemeClr val="accent2"/>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Status!$C$6:$C$16</c:f>
              <c:numCache>
                <c:formatCode>General</c:formatCode>
                <c:ptCount val="10"/>
                <c:pt idx="0">
                  <c:v>1</c:v>
                </c:pt>
                <c:pt idx="4">
                  <c:v>2</c:v>
                </c:pt>
                <c:pt idx="6">
                  <c:v>3</c:v>
                </c:pt>
              </c:numCache>
            </c:numRef>
          </c:val>
          <c:extLst>
            <c:ext xmlns:c16="http://schemas.microsoft.com/office/drawing/2014/chart" uri="{C3380CC4-5D6E-409C-BE32-E72D297353CC}">
              <c16:uniqueId val="{00000001-DB81-44C0-B260-C1933F42835A}"/>
            </c:ext>
          </c:extLst>
        </c:ser>
        <c:ser>
          <c:idx val="2"/>
          <c:order val="2"/>
          <c:tx>
            <c:strRef>
              <c:f>Status!$D$4:$D$5</c:f>
              <c:strCache>
                <c:ptCount val="1"/>
                <c:pt idx="0">
                  <c:v>Integración</c:v>
                </c:pt>
              </c:strCache>
            </c:strRef>
          </c:tx>
          <c:spPr>
            <a:solidFill>
              <a:schemeClr val="accent3"/>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Status!$D$6:$D$16</c:f>
              <c:numCache>
                <c:formatCode>General</c:formatCode>
                <c:ptCount val="10"/>
                <c:pt idx="0">
                  <c:v>1</c:v>
                </c:pt>
                <c:pt idx="2">
                  <c:v>1</c:v>
                </c:pt>
                <c:pt idx="3">
                  <c:v>1</c:v>
                </c:pt>
                <c:pt idx="4">
                  <c:v>1</c:v>
                </c:pt>
                <c:pt idx="5">
                  <c:v>3</c:v>
                </c:pt>
                <c:pt idx="6">
                  <c:v>1</c:v>
                </c:pt>
                <c:pt idx="9">
                  <c:v>1</c:v>
                </c:pt>
              </c:numCache>
            </c:numRef>
          </c:val>
          <c:extLst>
            <c:ext xmlns:c16="http://schemas.microsoft.com/office/drawing/2014/chart" uri="{C3380CC4-5D6E-409C-BE32-E72D297353CC}">
              <c16:uniqueId val="{00000002-DB81-44C0-B260-C1933F42835A}"/>
            </c:ext>
          </c:extLst>
        </c:ser>
        <c:ser>
          <c:idx val="3"/>
          <c:order val="3"/>
          <c:tx>
            <c:strRef>
              <c:f>Status!$E$4:$E$5</c:f>
              <c:strCache>
                <c:ptCount val="1"/>
                <c:pt idx="0">
                  <c:v>IT</c:v>
                </c:pt>
              </c:strCache>
            </c:strRef>
          </c:tx>
          <c:spPr>
            <a:solidFill>
              <a:schemeClr val="accent4"/>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Status!$E$6:$E$16</c:f>
              <c:numCache>
                <c:formatCode>General</c:formatCode>
                <c:ptCount val="10"/>
                <c:pt idx="6">
                  <c:v>1</c:v>
                </c:pt>
              </c:numCache>
            </c:numRef>
          </c:val>
          <c:extLst>
            <c:ext xmlns:c16="http://schemas.microsoft.com/office/drawing/2014/chart" uri="{C3380CC4-5D6E-409C-BE32-E72D297353CC}">
              <c16:uniqueId val="{00000003-DB81-44C0-B260-C1933F42835A}"/>
            </c:ext>
          </c:extLst>
        </c:ser>
        <c:ser>
          <c:idx val="4"/>
          <c:order val="4"/>
          <c:tx>
            <c:strRef>
              <c:f>Status!$F$4:$F$5</c:f>
              <c:strCache>
                <c:ptCount val="1"/>
                <c:pt idx="0">
                  <c:v>O2C</c:v>
                </c:pt>
              </c:strCache>
            </c:strRef>
          </c:tx>
          <c:spPr>
            <a:solidFill>
              <a:schemeClr val="tx2">
                <a:lumMod val="60000"/>
                <a:lumOff val="40000"/>
              </a:schemeClr>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Status!$F$6:$F$16</c:f>
              <c:numCache>
                <c:formatCode>General</c:formatCode>
                <c:ptCount val="10"/>
                <c:pt idx="0">
                  <c:v>6</c:v>
                </c:pt>
                <c:pt idx="1">
                  <c:v>5</c:v>
                </c:pt>
                <c:pt idx="2">
                  <c:v>2</c:v>
                </c:pt>
                <c:pt idx="3">
                  <c:v>2</c:v>
                </c:pt>
                <c:pt idx="4">
                  <c:v>4</c:v>
                </c:pt>
                <c:pt idx="5">
                  <c:v>24</c:v>
                </c:pt>
                <c:pt idx="6">
                  <c:v>7</c:v>
                </c:pt>
                <c:pt idx="8">
                  <c:v>3</c:v>
                </c:pt>
                <c:pt idx="9">
                  <c:v>3</c:v>
                </c:pt>
              </c:numCache>
            </c:numRef>
          </c:val>
          <c:extLst>
            <c:ext xmlns:c16="http://schemas.microsoft.com/office/drawing/2014/chart" uri="{C3380CC4-5D6E-409C-BE32-E72D297353CC}">
              <c16:uniqueId val="{00000004-DB81-44C0-B260-C1933F42835A}"/>
            </c:ext>
          </c:extLst>
        </c:ser>
        <c:ser>
          <c:idx val="5"/>
          <c:order val="5"/>
          <c:tx>
            <c:strRef>
              <c:f>Status!$G$4:$G$5</c:f>
              <c:strCache>
                <c:ptCount val="1"/>
                <c:pt idx="0">
                  <c:v>P2P</c:v>
                </c:pt>
              </c:strCache>
            </c:strRef>
          </c:tx>
          <c:spPr>
            <a:solidFill>
              <a:schemeClr val="accent3">
                <a:lumMod val="60000"/>
                <a:lumOff val="40000"/>
              </a:schemeClr>
            </a:solidFill>
            <a:ln>
              <a:noFill/>
            </a:ln>
            <a:effectLst/>
          </c:spPr>
          <c:invertIfNegative val="0"/>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Status!$G$6:$G$16</c:f>
              <c:numCache>
                <c:formatCode>General</c:formatCode>
                <c:ptCount val="10"/>
                <c:pt idx="0">
                  <c:v>3</c:v>
                </c:pt>
                <c:pt idx="1">
                  <c:v>3</c:v>
                </c:pt>
                <c:pt idx="2">
                  <c:v>2</c:v>
                </c:pt>
                <c:pt idx="4">
                  <c:v>3</c:v>
                </c:pt>
                <c:pt idx="5">
                  <c:v>17</c:v>
                </c:pt>
                <c:pt idx="6">
                  <c:v>19</c:v>
                </c:pt>
                <c:pt idx="7">
                  <c:v>3</c:v>
                </c:pt>
                <c:pt idx="9">
                  <c:v>4</c:v>
                </c:pt>
              </c:numCache>
            </c:numRef>
          </c:val>
          <c:extLst>
            <c:ext xmlns:c16="http://schemas.microsoft.com/office/drawing/2014/chart" uri="{C3380CC4-5D6E-409C-BE32-E72D297353CC}">
              <c16:uniqueId val="{00000005-DB81-44C0-B260-C1933F42835A}"/>
            </c:ext>
          </c:extLst>
        </c:ser>
        <c:dLbls>
          <c:showLegendKey val="0"/>
          <c:showVal val="0"/>
          <c:showCatName val="0"/>
          <c:showSerName val="0"/>
          <c:showPercent val="0"/>
          <c:showBubbleSize val="0"/>
        </c:dLbls>
        <c:gapWidth val="219"/>
        <c:overlap val="-27"/>
        <c:axId val="97571584"/>
        <c:axId val="97566304"/>
      </c:barChart>
      <c:catAx>
        <c:axId val="975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566304"/>
        <c:crosses val="autoZero"/>
        <c:auto val="1"/>
        <c:lblAlgn val="ctr"/>
        <c:lblOffset val="100"/>
        <c:noMultiLvlLbl val="0"/>
      </c:catAx>
      <c:valAx>
        <c:axId val="97566304"/>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7571584"/>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[EUROVA_Incidencias_UATs_20260113_v1.xls (3).xlsx]Status!TablaDinámica1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PTP</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tx2">
              <a:lumMod val="60000"/>
              <a:lumOff val="40000"/>
            </a:schemeClr>
          </a:solidFill>
          <a:ln w="19050">
            <a:solidFill>
              <a:schemeClr val="lt1"/>
            </a:solidFill>
          </a:ln>
          <a:effectLst/>
        </c:spPr>
      </c:pivotFmt>
      <c:pivotFmt>
        <c:idx val="3"/>
        <c:spPr>
          <a:solidFill>
            <a:schemeClr val="tx2">
              <a:lumMod val="20000"/>
              <a:lumOff val="80000"/>
            </a:schemeClr>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tx2">
              <a:lumMod val="20000"/>
              <a:lumOff val="80000"/>
            </a:schemeClr>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tx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lumMod val="75000"/>
            </a:schemeClr>
          </a:solidFill>
          <a:ln w="19050">
            <a:solidFill>
              <a:schemeClr val="lt1"/>
            </a:solidFill>
          </a:ln>
          <a:effectLst/>
        </c:spPr>
      </c:pivotFmt>
      <c:pivotFmt>
        <c:idx val="13"/>
        <c:spPr>
          <a:solidFill>
            <a:schemeClr val="tx2">
              <a:lumMod val="20000"/>
              <a:lumOff val="80000"/>
            </a:schemeClr>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chemeClr val="tx2">
              <a:lumMod val="60000"/>
              <a:lumOff val="40000"/>
            </a:schemeClr>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lumMod val="75000"/>
            </a:schemeClr>
          </a:solidFill>
          <a:ln w="19050">
            <a:solidFill>
              <a:schemeClr val="lt1"/>
            </a:solidFill>
          </a:ln>
          <a:effectLst/>
        </c:spPr>
      </c:pivotFmt>
      <c:pivotFmt>
        <c:idx val="18"/>
        <c:spPr>
          <a:solidFill>
            <a:schemeClr val="tx2">
              <a:lumMod val="20000"/>
              <a:lumOff val="80000"/>
            </a:schemeClr>
          </a:solidFill>
          <a:ln w="19050">
            <a:solidFill>
              <a:schemeClr val="lt1"/>
            </a:solidFill>
          </a:ln>
          <a:effectLst/>
        </c:spPr>
      </c:pivotFmt>
      <c:pivotFmt>
        <c:idx val="19"/>
        <c:spPr>
          <a:solidFill>
            <a:srgbClr val="FF0000"/>
          </a:solidFill>
          <a:ln w="19050">
            <a:solidFill>
              <a:schemeClr val="lt1"/>
            </a:solidFill>
          </a:ln>
          <a:effectLst/>
        </c:spPr>
      </c:pivotFmt>
      <c:pivotFmt>
        <c:idx val="20"/>
        <c:spPr>
          <a:solidFill>
            <a:schemeClr val="tx2">
              <a:lumMod val="60000"/>
              <a:lumOff val="40000"/>
            </a:schemeClr>
          </a:solidFill>
          <a:ln w="19050">
            <a:solidFill>
              <a:schemeClr val="lt1"/>
            </a:solidFill>
          </a:ln>
          <a:effectLst/>
        </c:spPr>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
        <c:idx val="24"/>
      </c:pivotFmt>
      <c:pivotFmt>
        <c:idx val="25"/>
      </c:pivotFmt>
      <c:pivotFmt>
        <c:idx val="26"/>
      </c:pivotFmt>
      <c:pivotFmt>
        <c:idx val="27"/>
        <c:marker>
          <c:symbol val="none"/>
        </c:marker>
        <c:dLbl>
          <c:idx val="0"/>
          <c:delete val="1"/>
          <c:extLst>
            <c:ext xmlns:c15="http://schemas.microsoft.com/office/drawing/2012/chart" uri="{CE6537A1-D6FC-4f65-9D91-7224C49458BB}"/>
          </c:extLst>
        </c:dLbl>
      </c:pivotFmt>
      <c:pivotFmt>
        <c:idx val="28"/>
      </c:pivotFmt>
      <c:pivotFmt>
        <c:idx val="29"/>
      </c:pivotFmt>
      <c:pivotFmt>
        <c:idx val="30"/>
      </c:pivotFmt>
      <c:pivotFmt>
        <c:idx val="31"/>
        <c:marker>
          <c:symbol val="none"/>
        </c:marker>
        <c:dLbl>
          <c:idx val="0"/>
          <c:delete val="1"/>
          <c:extLst>
            <c:ext xmlns:c15="http://schemas.microsoft.com/office/drawing/2012/chart" uri="{CE6537A1-D6FC-4f65-9D91-7224C49458BB}"/>
          </c:extLst>
        </c:dLbl>
      </c:pivotFmt>
      <c:pivotFmt>
        <c:idx val="32"/>
      </c:pivotFmt>
      <c:pivotFmt>
        <c:idx val="33"/>
      </c:pivotFmt>
      <c:pivotFmt>
        <c:idx val="34"/>
      </c:pivotFmt>
      <c:pivotFmt>
        <c:idx val="35"/>
      </c:pivotFmt>
      <c:pivotFmt>
        <c:idx val="36"/>
        <c:marker>
          <c:symbol val="none"/>
        </c:marker>
        <c:dLbl>
          <c:idx val="0"/>
          <c:delete val="1"/>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marker>
          <c:symbol val="none"/>
        </c:marker>
        <c:dLbl>
          <c:idx val="0"/>
          <c:delete val="1"/>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Status!$B$4:$B$5</c:f>
              <c:strCache>
                <c:ptCount val="1"/>
                <c:pt idx="0">
                  <c:v>Finanzas</c:v>
                </c:pt>
              </c:strCache>
            </c:strRef>
          </c:tx>
          <c:dPt>
            <c:idx val="0"/>
            <c:bubble3D val="0"/>
            <c:extLst>
              <c:ext xmlns:c16="http://schemas.microsoft.com/office/drawing/2014/chart" uri="{C3380CC4-5D6E-409C-BE32-E72D297353CC}">
                <c16:uniqueId val="{00000009-20F7-4C52-A354-CB5BE2B1A827}"/>
              </c:ext>
            </c:extLst>
          </c:dPt>
          <c:dPt>
            <c:idx val="1"/>
            <c:bubble3D val="0"/>
            <c:extLst>
              <c:ext xmlns:c16="http://schemas.microsoft.com/office/drawing/2014/chart" uri="{C3380CC4-5D6E-409C-BE32-E72D297353CC}">
                <c16:uniqueId val="{0000000B-20F7-4C52-A354-CB5BE2B1A827}"/>
              </c:ext>
            </c:extLst>
          </c:dPt>
          <c:dPt>
            <c:idx val="2"/>
            <c:bubble3D val="0"/>
            <c:extLst>
              <c:ext xmlns:c16="http://schemas.microsoft.com/office/drawing/2014/chart" uri="{C3380CC4-5D6E-409C-BE32-E72D297353CC}">
                <c16:uniqueId val="{0000000D-20F7-4C52-A354-CB5BE2B1A827}"/>
              </c:ext>
            </c:extLst>
          </c:dPt>
          <c:dPt>
            <c:idx val="3"/>
            <c:bubble3D val="0"/>
            <c:extLst>
              <c:ext xmlns:c16="http://schemas.microsoft.com/office/drawing/2014/chart" uri="{C3380CC4-5D6E-409C-BE32-E72D297353CC}">
                <c16:uniqueId val="{0000000F-20F7-4C52-A354-CB5BE2B1A827}"/>
              </c:ext>
            </c:extLst>
          </c:dPt>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Status!$B$6:$B$16</c:f>
              <c:numCache>
                <c:formatCode>General</c:formatCode>
                <c:ptCount val="10"/>
                <c:pt idx="0">
                  <c:v>2</c:v>
                </c:pt>
                <c:pt idx="1">
                  <c:v>1</c:v>
                </c:pt>
                <c:pt idx="2">
                  <c:v>13</c:v>
                </c:pt>
                <c:pt idx="4">
                  <c:v>7</c:v>
                </c:pt>
                <c:pt idx="5">
                  <c:v>1</c:v>
                </c:pt>
                <c:pt idx="6">
                  <c:v>46</c:v>
                </c:pt>
                <c:pt idx="7">
                  <c:v>5</c:v>
                </c:pt>
                <c:pt idx="8">
                  <c:v>2</c:v>
                </c:pt>
                <c:pt idx="9">
                  <c:v>1</c:v>
                </c:pt>
              </c:numCache>
            </c:numRef>
          </c:val>
          <c:extLst>
            <c:ext xmlns:c16="http://schemas.microsoft.com/office/drawing/2014/chart" uri="{C3380CC4-5D6E-409C-BE32-E72D297353CC}">
              <c16:uniqueId val="{00000010-20F7-4C52-A354-CB5BE2B1A827}"/>
            </c:ext>
          </c:extLst>
        </c:ser>
        <c:ser>
          <c:idx val="1"/>
          <c:order val="1"/>
          <c:tx>
            <c:strRef>
              <c:f>Status!$C$4:$C$5</c:f>
              <c:strCache>
                <c:ptCount val="1"/>
                <c:pt idx="0">
                  <c:v>Gestión</c:v>
                </c:pt>
              </c:strCache>
            </c:strRef>
          </c:tx>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Status!$C$6:$C$16</c:f>
              <c:numCache>
                <c:formatCode>General</c:formatCode>
                <c:ptCount val="10"/>
                <c:pt idx="0">
                  <c:v>1</c:v>
                </c:pt>
                <c:pt idx="4">
                  <c:v>2</c:v>
                </c:pt>
                <c:pt idx="6">
                  <c:v>3</c:v>
                </c:pt>
              </c:numCache>
            </c:numRef>
          </c:val>
          <c:extLst>
            <c:ext xmlns:c16="http://schemas.microsoft.com/office/drawing/2014/chart" uri="{C3380CC4-5D6E-409C-BE32-E72D297353CC}">
              <c16:uniqueId val="{00000005-4773-4BB3-B1F2-5836E2BC6978}"/>
            </c:ext>
          </c:extLst>
        </c:ser>
        <c:ser>
          <c:idx val="2"/>
          <c:order val="2"/>
          <c:tx>
            <c:strRef>
              <c:f>Status!$D$4:$D$5</c:f>
              <c:strCache>
                <c:ptCount val="1"/>
                <c:pt idx="0">
                  <c:v>Integración</c:v>
                </c:pt>
              </c:strCache>
            </c:strRef>
          </c:tx>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Status!$D$6:$D$16</c:f>
              <c:numCache>
                <c:formatCode>General</c:formatCode>
                <c:ptCount val="10"/>
                <c:pt idx="0">
                  <c:v>1</c:v>
                </c:pt>
                <c:pt idx="2">
                  <c:v>1</c:v>
                </c:pt>
                <c:pt idx="3">
                  <c:v>1</c:v>
                </c:pt>
                <c:pt idx="4">
                  <c:v>1</c:v>
                </c:pt>
                <c:pt idx="5">
                  <c:v>3</c:v>
                </c:pt>
                <c:pt idx="6">
                  <c:v>1</c:v>
                </c:pt>
                <c:pt idx="9">
                  <c:v>1</c:v>
                </c:pt>
              </c:numCache>
            </c:numRef>
          </c:val>
          <c:extLst>
            <c:ext xmlns:c16="http://schemas.microsoft.com/office/drawing/2014/chart" uri="{C3380CC4-5D6E-409C-BE32-E72D297353CC}">
              <c16:uniqueId val="{00000006-4773-4BB3-B1F2-5836E2BC6978}"/>
            </c:ext>
          </c:extLst>
        </c:ser>
        <c:ser>
          <c:idx val="3"/>
          <c:order val="3"/>
          <c:tx>
            <c:strRef>
              <c:f>Status!$E$4:$E$5</c:f>
              <c:strCache>
                <c:ptCount val="1"/>
                <c:pt idx="0">
                  <c:v>IT</c:v>
                </c:pt>
              </c:strCache>
            </c:strRef>
          </c:tx>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Status!$E$6:$E$16</c:f>
              <c:numCache>
                <c:formatCode>General</c:formatCode>
                <c:ptCount val="10"/>
                <c:pt idx="6">
                  <c:v>1</c:v>
                </c:pt>
              </c:numCache>
            </c:numRef>
          </c:val>
          <c:extLst>
            <c:ext xmlns:c16="http://schemas.microsoft.com/office/drawing/2014/chart" uri="{C3380CC4-5D6E-409C-BE32-E72D297353CC}">
              <c16:uniqueId val="{00000007-4773-4BB3-B1F2-5836E2BC6978}"/>
            </c:ext>
          </c:extLst>
        </c:ser>
        <c:ser>
          <c:idx val="4"/>
          <c:order val="4"/>
          <c:tx>
            <c:strRef>
              <c:f>Status!$F$4:$F$5</c:f>
              <c:strCache>
                <c:ptCount val="1"/>
                <c:pt idx="0">
                  <c:v>O2C</c:v>
                </c:pt>
              </c:strCache>
            </c:strRef>
          </c:tx>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Status!$F$6:$F$16</c:f>
              <c:numCache>
                <c:formatCode>General</c:formatCode>
                <c:ptCount val="10"/>
                <c:pt idx="0">
                  <c:v>6</c:v>
                </c:pt>
                <c:pt idx="1">
                  <c:v>5</c:v>
                </c:pt>
                <c:pt idx="2">
                  <c:v>2</c:v>
                </c:pt>
                <c:pt idx="3">
                  <c:v>2</c:v>
                </c:pt>
                <c:pt idx="4">
                  <c:v>4</c:v>
                </c:pt>
                <c:pt idx="5">
                  <c:v>24</c:v>
                </c:pt>
                <c:pt idx="6">
                  <c:v>7</c:v>
                </c:pt>
                <c:pt idx="8">
                  <c:v>3</c:v>
                </c:pt>
                <c:pt idx="9">
                  <c:v>3</c:v>
                </c:pt>
              </c:numCache>
            </c:numRef>
          </c:val>
          <c:extLst>
            <c:ext xmlns:c16="http://schemas.microsoft.com/office/drawing/2014/chart" uri="{C3380CC4-5D6E-409C-BE32-E72D297353CC}">
              <c16:uniqueId val="{00000008-4773-4BB3-B1F2-5836E2BC6978}"/>
            </c:ext>
          </c:extLst>
        </c:ser>
        <c:ser>
          <c:idx val="5"/>
          <c:order val="5"/>
          <c:tx>
            <c:strRef>
              <c:f>Status!$G$4:$G$5</c:f>
              <c:strCache>
                <c:ptCount val="1"/>
                <c:pt idx="0">
                  <c:v>P2P</c:v>
                </c:pt>
              </c:strCache>
            </c:strRef>
          </c:tx>
          <c:cat>
            <c:strRef>
              <c:f>Status!$A$6:$A$16</c:f>
              <c:strCache>
                <c:ptCount val="10"/>
                <c:pt idx="0">
                  <c:v>1En proceso</c:v>
                </c:pt>
                <c:pt idx="1">
                  <c:v>3Entregada</c:v>
                </c:pt>
                <c:pt idx="2">
                  <c:v>4Pte Info MP</c:v>
                </c:pt>
                <c:pt idx="3">
                  <c:v>5Pte de Pruebas MP</c:v>
                </c:pt>
                <c:pt idx="4">
                  <c:v>7Parada por MP</c:v>
                </c:pt>
                <c:pt idx="5">
                  <c:v>8Abierta</c:v>
                </c:pt>
                <c:pt idx="6">
                  <c:v>91Cerrada</c:v>
                </c:pt>
                <c:pt idx="7">
                  <c:v>92Descartada</c:v>
                </c:pt>
                <c:pt idx="8">
                  <c:v>93Duplicada</c:v>
                </c:pt>
                <c:pt idx="9">
                  <c:v>9Nueva</c:v>
                </c:pt>
              </c:strCache>
            </c:strRef>
          </c:cat>
          <c:val>
            <c:numRef>
              <c:f>Status!$G$6:$G$16</c:f>
              <c:numCache>
                <c:formatCode>General</c:formatCode>
                <c:ptCount val="10"/>
                <c:pt idx="0">
                  <c:v>3</c:v>
                </c:pt>
                <c:pt idx="1">
                  <c:v>3</c:v>
                </c:pt>
                <c:pt idx="2">
                  <c:v>2</c:v>
                </c:pt>
                <c:pt idx="4">
                  <c:v>3</c:v>
                </c:pt>
                <c:pt idx="5">
                  <c:v>17</c:v>
                </c:pt>
                <c:pt idx="6">
                  <c:v>19</c:v>
                </c:pt>
                <c:pt idx="7">
                  <c:v>3</c:v>
                </c:pt>
                <c:pt idx="9">
                  <c:v>4</c:v>
                </c:pt>
              </c:numCache>
            </c:numRef>
          </c:val>
          <c:extLst>
            <c:ext xmlns:c16="http://schemas.microsoft.com/office/drawing/2014/chart" uri="{C3380CC4-5D6E-409C-BE32-E72D297353CC}">
              <c16:uniqueId val="{00000009-4773-4BB3-B1F2-5836E2BC6978}"/>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22860</xdr:colOff>
      <xdr:row>15</xdr:row>
      <xdr:rowOff>3810</xdr:rowOff>
    </xdr:from>
    <xdr:to>
      <xdr:col>4</xdr:col>
      <xdr:colOff>22860</xdr:colOff>
      <xdr:row>23</xdr:row>
      <xdr:rowOff>144780</xdr:rowOff>
    </xdr:to>
    <xdr:graphicFrame macro="">
      <xdr:nvGraphicFramePr>
        <xdr:cNvPr id="2" name="Gráfico 1">
          <a:extLst>
            <a:ext uri="{FF2B5EF4-FFF2-40B4-BE49-F238E27FC236}">
              <a16:creationId xmlns:a16="http://schemas.microsoft.com/office/drawing/2014/main" id="{7CB89500-5C13-4A91-BFB1-26359F783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175260</xdr:rowOff>
    </xdr:from>
    <xdr:to>
      <xdr:col>8</xdr:col>
      <xdr:colOff>7620</xdr:colOff>
      <xdr:row>29</xdr:row>
      <xdr:rowOff>140970</xdr:rowOff>
    </xdr:to>
    <xdr:graphicFrame macro="">
      <xdr:nvGraphicFramePr>
        <xdr:cNvPr id="3" name="Gráfico 2">
          <a:extLst>
            <a:ext uri="{FF2B5EF4-FFF2-40B4-BE49-F238E27FC236}">
              <a16:creationId xmlns:a16="http://schemas.microsoft.com/office/drawing/2014/main" id="{C83B73F3-175B-4366-8FC1-B9E90DCDA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14</xdr:row>
      <xdr:rowOff>163830</xdr:rowOff>
    </xdr:from>
    <xdr:to>
      <xdr:col>14</xdr:col>
      <xdr:colOff>670560</xdr:colOff>
      <xdr:row>36</xdr:row>
      <xdr:rowOff>68580</xdr:rowOff>
    </xdr:to>
    <xdr:graphicFrame macro="">
      <xdr:nvGraphicFramePr>
        <xdr:cNvPr id="4" name="Gráfico 3">
          <a:extLst>
            <a:ext uri="{FF2B5EF4-FFF2-40B4-BE49-F238E27FC236}">
              <a16:creationId xmlns:a16="http://schemas.microsoft.com/office/drawing/2014/main" id="{A1105ABB-0E3E-4C6D-827B-34F92C89D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198120</xdr:colOff>
      <xdr:row>1</xdr:row>
      <xdr:rowOff>142876</xdr:rowOff>
    </xdr:from>
    <xdr:ext cx="1714500" cy="617219"/>
    <xdr:pic>
      <xdr:nvPicPr>
        <xdr:cNvPr id="3" name="Image 3">
          <a:extLst>
            <a:ext uri="{FF2B5EF4-FFF2-40B4-BE49-F238E27FC236}">
              <a16:creationId xmlns:a16="http://schemas.microsoft.com/office/drawing/2014/main" id="{1F1267A3-613F-4A0A-A241-7B658BE37BEA}"/>
            </a:ext>
          </a:extLst>
        </xdr:cNvPr>
        <xdr:cNvPicPr/>
      </xdr:nvPicPr>
      <xdr:blipFill>
        <a:blip xmlns:r="http://schemas.openxmlformats.org/officeDocument/2006/relationships" r:embed="rId1" cstate="print"/>
        <a:stretch>
          <a:fillRect/>
        </a:stretch>
      </xdr:blipFill>
      <xdr:spPr>
        <a:xfrm>
          <a:off x="198120" y="323851"/>
          <a:ext cx="1714500" cy="61721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251460</xdr:colOff>
      <xdr:row>0</xdr:row>
      <xdr:rowOff>152400</xdr:rowOff>
    </xdr:from>
    <xdr:to>
      <xdr:col>8</xdr:col>
      <xdr:colOff>701040</xdr:colOff>
      <xdr:row>19</xdr:row>
      <xdr:rowOff>83820</xdr:rowOff>
    </xdr:to>
    <xdr:graphicFrame macro="">
      <xdr:nvGraphicFramePr>
        <xdr:cNvPr id="8" name="Gráfico 1">
          <a:extLst>
            <a:ext uri="{FF2B5EF4-FFF2-40B4-BE49-F238E27FC236}">
              <a16:creationId xmlns:a16="http://schemas.microsoft.com/office/drawing/2014/main" id="{46DD5474-5F3E-4757-A006-BA47035AC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274320</xdr:colOff>
      <xdr:row>0</xdr:row>
      <xdr:rowOff>87630</xdr:rowOff>
    </xdr:from>
    <xdr:to>
      <xdr:col>14</xdr:col>
      <xdr:colOff>662940</xdr:colOff>
      <xdr:row>19</xdr:row>
      <xdr:rowOff>38100</xdr:rowOff>
    </xdr:to>
    <xdr:graphicFrame macro="">
      <xdr:nvGraphicFramePr>
        <xdr:cNvPr id="3" name="Gráfico 2">
          <a:extLst>
            <a:ext uri="{FF2B5EF4-FFF2-40B4-BE49-F238E27FC236}">
              <a16:creationId xmlns:a16="http://schemas.microsoft.com/office/drawing/2014/main" id="{2FFE4A95-AFC4-4F90-92FF-0F9DAB322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777240</xdr:colOff>
      <xdr:row>79</xdr:row>
      <xdr:rowOff>160020</xdr:rowOff>
    </xdr:from>
    <xdr:to>
      <xdr:col>12</xdr:col>
      <xdr:colOff>609600</xdr:colOff>
      <xdr:row>94</xdr:row>
      <xdr:rowOff>34290</xdr:rowOff>
    </xdr:to>
    <xdr:graphicFrame macro="">
      <xdr:nvGraphicFramePr>
        <xdr:cNvPr id="4" name="Gráfico 3">
          <a:extLst>
            <a:ext uri="{FF2B5EF4-FFF2-40B4-BE49-F238E27FC236}">
              <a16:creationId xmlns:a16="http://schemas.microsoft.com/office/drawing/2014/main" id="{1769DD0F-9F0B-4909-B3BD-C02901E9E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213360</xdr:colOff>
      <xdr:row>38</xdr:row>
      <xdr:rowOff>49530</xdr:rowOff>
    </xdr:from>
    <xdr:to>
      <xdr:col>9</xdr:col>
      <xdr:colOff>76200</xdr:colOff>
      <xdr:row>69</xdr:row>
      <xdr:rowOff>49530</xdr:rowOff>
    </xdr:to>
    <xdr:graphicFrame macro="">
      <xdr:nvGraphicFramePr>
        <xdr:cNvPr id="5" name="Gráfico 4">
          <a:extLst>
            <a:ext uri="{FF2B5EF4-FFF2-40B4-BE49-F238E27FC236}">
              <a16:creationId xmlns:a16="http://schemas.microsoft.com/office/drawing/2014/main" id="{FBD4971A-51FE-47A4-8EE9-5A622B329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464820</xdr:colOff>
      <xdr:row>38</xdr:row>
      <xdr:rowOff>41910</xdr:rowOff>
    </xdr:from>
    <xdr:to>
      <xdr:col>15</xdr:col>
      <xdr:colOff>327660</xdr:colOff>
      <xdr:row>69</xdr:row>
      <xdr:rowOff>41910</xdr:rowOff>
    </xdr:to>
    <xdr:graphicFrame macro="">
      <xdr:nvGraphicFramePr>
        <xdr:cNvPr id="6" name="Gráfico 5">
          <a:extLst>
            <a:ext uri="{FF2B5EF4-FFF2-40B4-BE49-F238E27FC236}">
              <a16:creationId xmlns:a16="http://schemas.microsoft.com/office/drawing/2014/main" id="{D460575C-A51B-4050-8A62-B7604FD25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87630</xdr:colOff>
      <xdr:row>108</xdr:row>
      <xdr:rowOff>112395</xdr:rowOff>
    </xdr:from>
    <xdr:to>
      <xdr:col>13</xdr:col>
      <xdr:colOff>85725</xdr:colOff>
      <xdr:row>123</xdr:row>
      <xdr:rowOff>112395</xdr:rowOff>
    </xdr:to>
    <xdr:graphicFrame macro="">
      <xdr:nvGraphicFramePr>
        <xdr:cNvPr id="7" name="Gráfico 6">
          <a:extLst>
            <a:ext uri="{FF2B5EF4-FFF2-40B4-BE49-F238E27FC236}">
              <a16:creationId xmlns:a16="http://schemas.microsoft.com/office/drawing/2014/main" id="{FDAB76A0-91A3-43C1-B356-F07ECEF38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556260</xdr:colOff>
      <xdr:row>154</xdr:row>
      <xdr:rowOff>91440</xdr:rowOff>
    </xdr:from>
    <xdr:to>
      <xdr:col>13</xdr:col>
      <xdr:colOff>373380</xdr:colOff>
      <xdr:row>171</xdr:row>
      <xdr:rowOff>160020</xdr:rowOff>
    </xdr:to>
    <xdr:graphicFrame macro="">
      <xdr:nvGraphicFramePr>
        <xdr:cNvPr id="9" name="Gráfico 8">
          <a:extLst>
            <a:ext uri="{FF2B5EF4-FFF2-40B4-BE49-F238E27FC236}">
              <a16:creationId xmlns:a16="http://schemas.microsoft.com/office/drawing/2014/main" id="{E10E1E98-7DAF-4400-94C7-24F97B7B5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220980</xdr:colOff>
      <xdr:row>1</xdr:row>
      <xdr:rowOff>106680</xdr:rowOff>
    </xdr:from>
    <xdr:to>
      <xdr:col>15</xdr:col>
      <xdr:colOff>548640</xdr:colOff>
      <xdr:row>15</xdr:row>
      <xdr:rowOff>0</xdr:rowOff>
    </xdr:to>
    <xdr:graphicFrame macro="">
      <xdr:nvGraphicFramePr>
        <xdr:cNvPr id="3" name="Gráfico 2">
          <a:extLst>
            <a:ext uri="{FF2B5EF4-FFF2-40B4-BE49-F238E27FC236}">
              <a16:creationId xmlns:a16="http://schemas.microsoft.com/office/drawing/2014/main" id="{FC77334A-01F6-702E-DCE6-B5BB892F9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220980</xdr:colOff>
      <xdr:row>23</xdr:row>
      <xdr:rowOff>3810</xdr:rowOff>
    </xdr:from>
    <xdr:to>
      <xdr:col>10</xdr:col>
      <xdr:colOff>152400</xdr:colOff>
      <xdr:row>38</xdr:row>
      <xdr:rowOff>3810</xdr:rowOff>
    </xdr:to>
    <xdr:graphicFrame macro="">
      <xdr:nvGraphicFramePr>
        <xdr:cNvPr id="4" name="Gráfico 3">
          <a:extLst>
            <a:ext uri="{FF2B5EF4-FFF2-40B4-BE49-F238E27FC236}">
              <a16:creationId xmlns:a16="http://schemas.microsoft.com/office/drawing/2014/main" id="{D959B5A7-3A23-3208-94F7-BEB597E16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0.32054</cdr:x>
      <cdr:y>0.09006</cdr:y>
    </cdr:from>
    <cdr:to>
      <cdr:x>0.46906</cdr:x>
      <cdr:y>0.46273</cdr:y>
    </cdr:to>
    <cdr:sp macro="" textlink="">
      <cdr:nvSpPr>
        <cdr:cNvPr id="2" name="CuadroTexto 1">
          <a:extLst xmlns:a="http://schemas.openxmlformats.org/drawingml/2006/main">
            <a:ext uri="{FF2B5EF4-FFF2-40B4-BE49-F238E27FC236}">
              <a16:creationId xmlns:a16="http://schemas.microsoft.com/office/drawing/2014/main" id="{C2A6819D-C82A-252E-E06C-A3109A0A259B}"/>
            </a:ext>
          </a:extLst>
        </cdr:cNvPr>
        <cdr:cNvSpPr txBox="1"/>
      </cdr:nvSpPr>
      <cdr:spPr>
        <a:xfrm xmlns:a="http://schemas.openxmlformats.org/drawingml/2006/main">
          <a:off x="1973580" y="2209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ES" sz="1100" kern="1200"/>
            <a:t>Bloque 7 Evoluctivos</a:t>
          </a:r>
          <a:r>
            <a:rPr lang="es-ES" sz="1100" kern="1200" baseline="0"/>
            <a:t> y CRM</a:t>
          </a:r>
          <a:endParaRPr lang="es-ES"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Angel Sanchez Sanchez" refreshedDate="45849.558987037039" createdVersion="8" refreshedVersion="8" minRefreshableVersion="3" recordCount="204" xr:uid="{2257C4EF-ABC4-4B86-A458-50DAE030E0AE}">
  <cacheSource type="worksheet">
    <worksheetSource ref="B8:P211" sheet="Incidencias"/>
  </cacheSource>
  <cacheFields count="28">
    <cacheField name="Nº" numFmtId="0">
      <sharedItems/>
    </cacheField>
    <cacheField name="F. Incid." numFmtId="14">
      <sharedItems containsDate="1" containsMixedTypes="1" minDate="2025-02-03T00:00:00" maxDate="2025-07-12T00:00:00"/>
    </cacheField>
    <cacheField name="KU MP" numFmtId="14">
      <sharedItems containsBlank="1"/>
    </cacheField>
    <cacheField name="Responsable MAIN PAPER" numFmtId="0">
      <sharedItems/>
    </cacheField>
    <cacheField name="TIPO" numFmtId="0">
      <sharedItems containsBlank="1" count="3">
        <s v="Incidencia"/>
        <m/>
        <s v="Consulta"/>
      </sharedItems>
    </cacheField>
    <cacheField name="Tipo según ALTIM" numFmtId="0">
      <sharedItems/>
    </cacheField>
    <cacheField name="Módulo" numFmtId="0">
      <sharedItems containsBlank="1" count="11">
        <s v="Finanzas"/>
        <s v="P2P"/>
        <s v="Integración"/>
        <s v="O2C"/>
        <s v="IT"/>
        <s v="Gestión"/>
        <s v="OTC"/>
        <s v="PTP"/>
        <m u="1"/>
        <s v="Formación" u="1"/>
        <s v="Fianazas" u="1"/>
      </sharedItems>
    </cacheField>
    <cacheField name="Bloque" numFmtId="165">
      <sharedItems/>
    </cacheField>
    <cacheField name="Descripción / Documento " numFmtId="0">
      <sharedItems longText="1"/>
    </cacheField>
    <cacheField name="问题痛点" numFmtId="0">
      <sharedItems containsBlank="1"/>
    </cacheField>
    <cacheField name="Observaciones" numFmtId="0">
      <sharedItems containsBlank="1" longText="1"/>
    </cacheField>
    <cacheField name="Prioridad" numFmtId="0">
      <sharedItems/>
    </cacheField>
    <cacheField name="Comentarios" numFmtId="0">
      <sharedItems containsBlank="1" longText="1"/>
    </cacheField>
    <cacheField name="Sistema" numFmtId="0">
      <sharedItems containsBlank="1"/>
    </cacheField>
    <cacheField name="Responsable Altim" numFmtId="0">
      <sharedItems/>
    </cacheField>
    <cacheField name="Estado" numFmtId="0">
      <sharedItems containsBlank="1" count="22">
        <s v="91Cerrada"/>
        <s v="7Parada por MP"/>
        <s v="4Pte Info MP"/>
        <s v="92Descartada"/>
        <s v="5Pte de Pruebas MP"/>
        <s v="1En proceso"/>
        <s v="8Abierta"/>
        <s v="3Entregada"/>
        <s v="9Nueva"/>
        <s v="93Duplicada"/>
        <s v="12Duplicada" u="1"/>
        <s v="Cerrada" u="1"/>
        <s v="Nueva" u="1"/>
        <s v="En proceso" u="1"/>
        <s v="Parada por MP" u="1"/>
        <s v="Descartada" u="1"/>
        <s v="Entregada" u="1"/>
        <s v="Pte Info MP" u="1"/>
        <s v="Pte de Pruebas MP" u="1"/>
        <m u="1"/>
        <s v="Abierta" u="1"/>
        <s v="Duplicada" u="1"/>
      </sharedItems>
    </cacheField>
    <cacheField name="F.Entrega" numFmtId="14">
      <sharedItems containsDate="1" containsBlank="1" containsMixedTypes="1" minDate="2025-05-12T00:00:00" maxDate="2026-06-19T00:00:00"/>
    </cacheField>
    <cacheField name="F. Cierre_x000a_Prevista" numFmtId="14">
      <sharedItems containsDate="1" containsBlank="1" containsMixedTypes="1" minDate="2025-05-19T00:00:00" maxDate="2026-01-03T00:00:00"/>
    </cacheField>
    <cacheField name="Semana planificada" numFmtId="14">
      <sharedItems containsDate="1" containsBlank="1" containsMixedTypes="1" minDate="2025-05-19T00:00:00" maxDate="2026-06-26T00:00:00"/>
    </cacheField>
    <cacheField name="Opsevaciones de retraso" numFmtId="0">
      <sharedItems containsBlank="1"/>
    </cacheField>
    <cacheField name="Pais" numFmtId="14">
      <sharedItems containsBlank="1"/>
    </cacheField>
    <cacheField name="Fecha Cierre Real" numFmtId="0">
      <sharedItems containsDate="1" containsBlank="1" containsMixedTypes="1" minDate="2025-05-13T00:00:00" maxDate="2025-10-01T00:00:00"/>
    </cacheField>
    <cacheField name="Motivo de Retraso" numFmtId="0">
      <sharedItems containsBlank="1"/>
    </cacheField>
    <cacheField name="¿Bloqueante para arranque?" numFmtId="0">
      <sharedItems containsBlank="1"/>
    </cacheField>
    <cacheField name="¿Error de proceso o usuario?" numFmtId="0">
      <sharedItems containsBlank="1"/>
    </cacheField>
    <cacheField name="Orden" numFmtId="1">
      <sharedItems containsString="0" containsBlank="1" containsNumber="1" containsInteger="1" minValue="1" maxValue="4"/>
    </cacheField>
    <cacheField name="Riesgo" numFmtId="0">
      <sharedItems containsBlank="1"/>
    </cacheField>
    <cacheField name="Horas Invertidas" numFmtId="1">
      <sharedItems containsSemiMixedTypes="0" containsString="0" containsNumber="1" minValue="0" maxValue="14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Angel Sanchez Sanchez" refreshedDate="45849.60363391204" createdVersion="8" refreshedVersion="8" minRefreshableVersion="3" recordCount="204" xr:uid="{9A149E09-FD0A-4DA2-BB90-1486937698D8}">
  <cacheSource type="worksheet">
    <worksheetSource name="Tabla6"/>
  </cacheSource>
  <cacheFields count="34">
    <cacheField name="Nº" numFmtId="0">
      <sharedItems/>
    </cacheField>
    <cacheField name="F. Incid." numFmtId="14">
      <sharedItems containsDate="1" containsMixedTypes="1" minDate="2025-02-03T00:00:00" maxDate="2025-07-12T00:00:00"/>
    </cacheField>
    <cacheField name="KU MP" numFmtId="14">
      <sharedItems containsBlank="1"/>
    </cacheField>
    <cacheField name="Responsable MAIN PAPER" numFmtId="0">
      <sharedItems/>
    </cacheField>
    <cacheField name="TIPO" numFmtId="0">
      <sharedItems containsBlank="1"/>
    </cacheField>
    <cacheField name="Tipo según ALTIM" numFmtId="0">
      <sharedItems/>
    </cacheField>
    <cacheField name="Módulo" numFmtId="0">
      <sharedItems containsBlank="1" count="10">
        <s v="Finanzas"/>
        <s v="P2P"/>
        <s v="Integración"/>
        <s v="O2C"/>
        <s v="IT"/>
        <s v="Gestión"/>
        <s v="PTP" u="1"/>
        <s v="OTC" u="1"/>
        <m u="1"/>
        <s v="Formación" u="1"/>
      </sharedItems>
    </cacheField>
    <cacheField name="Bloque" numFmtId="165">
      <sharedItems count="7">
        <s v="BLOQUE 1 – Extracción cierre 2024"/>
        <s v="BLOQUE 2 – NAV 2024"/>
        <s v="BLOQUE 4 – Cierre SAP 2024"/>
        <s v="BLOQUE 3 – Correcciones y ajustes 2025"/>
        <s v="BLOQUE 5 – Soporte a operativa diaria SAP"/>
        <s v="BLOQUE 6 – SGA"/>
        <s v="BLOQUE 7 – Evolutivos y CRM"/>
      </sharedItems>
    </cacheField>
    <cacheField name="Descripción / Documento " numFmtId="0">
      <sharedItems longText="1"/>
    </cacheField>
    <cacheField name="问题痛点" numFmtId="0">
      <sharedItems containsBlank="1"/>
    </cacheField>
    <cacheField name="Observaciones" numFmtId="0">
      <sharedItems containsBlank="1" longText="1"/>
    </cacheField>
    <cacheField name="Prioridad" numFmtId="0">
      <sharedItems/>
    </cacheField>
    <cacheField name="Comentarios" numFmtId="0">
      <sharedItems containsBlank="1" longText="1"/>
    </cacheField>
    <cacheField name="Sistema" numFmtId="0">
      <sharedItems containsBlank="1"/>
    </cacheField>
    <cacheField name="Responsable Altim" numFmtId="0">
      <sharedItems/>
    </cacheField>
    <cacheField name="Estado" numFmtId="0">
      <sharedItems count="11">
        <s v="91Cerrada"/>
        <s v="7Parada por MP"/>
        <s v="4Pte Info MP"/>
        <s v="92Descartada"/>
        <s v="5Pte de Pruebas MP"/>
        <s v="1En proceso"/>
        <s v="8Abierta"/>
        <s v="3Entregada"/>
        <s v="9Nueva"/>
        <s v="93Duplicada"/>
        <s v="12Duplicada" u="1"/>
      </sharedItems>
    </cacheField>
    <cacheField name="F.Entrega" numFmtId="14">
      <sharedItems containsDate="1" containsBlank="1" containsMixedTypes="1" minDate="2025-05-12T00:00:00" maxDate="2026-06-19T00:00:00"/>
    </cacheField>
    <cacheField name="F. Cierre_x000a_Prevista" numFmtId="14">
      <sharedItems containsDate="1" containsBlank="1" containsMixedTypes="1" minDate="2025-05-19T00:00:00" maxDate="2025-10-08T00:00:00"/>
    </cacheField>
    <cacheField name="Semana planificada" numFmtId="14">
      <sharedItems containsDate="1" containsBlank="1" containsMixedTypes="1" minDate="2025-05-19T00:00:00" maxDate="2026-06-26T00:00:00"/>
    </cacheField>
    <cacheField name="Opsevaciones de retraso" numFmtId="0">
      <sharedItems containsBlank="1"/>
    </cacheField>
    <cacheField name="Pais" numFmtId="14">
      <sharedItems containsBlank="1"/>
    </cacheField>
    <cacheField name="Fecha Cierre Real" numFmtId="0">
      <sharedItems containsNonDate="0" containsDate="1" containsString="0" containsBlank="1" minDate="2025-05-13T00:00:00" maxDate="2025-07-12T00:00:00"/>
    </cacheField>
    <cacheField name="Motivo de Retraso" numFmtId="0">
      <sharedItems containsBlank="1"/>
    </cacheField>
    <cacheField name="¿Bloqueante para arranque?" numFmtId="0">
      <sharedItems containsBlank="1"/>
    </cacheField>
    <cacheField name="¿Error de proceso o usuario?" numFmtId="0">
      <sharedItems containsBlank="1"/>
    </cacheField>
    <cacheField name="Orden" numFmtId="1">
      <sharedItems containsString="0" containsBlank="1" containsNumber="1" containsInteger="1" minValue="1" maxValue="4"/>
    </cacheField>
    <cacheField name="Riesgo" numFmtId="165">
      <sharedItems/>
    </cacheField>
    <cacheField name="Horas Invertidas" numFmtId="1">
      <sharedItems containsSemiMixedTypes="0" containsString="0" containsNumber="1" minValue="0" maxValue="145.5"/>
    </cacheField>
    <cacheField name="Resumen a 27/05/2025" numFmtId="0">
      <sharedItems containsBlank="1"/>
    </cacheField>
    <cacheField name="Orden de transporte" numFmtId="0">
      <sharedItems containsBlank="1"/>
    </cacheField>
    <cacheField name="Resumen a 02/06/20252" numFmtId="0">
      <sharedItems containsBlank="1"/>
    </cacheField>
    <cacheField name="Tarea" numFmtId="0">
      <sharedItems containsDate="1" containsBlank="1" containsMixedTypes="1" minDate="1899-12-30T00:00:00" maxDate="1899-12-31T00:00:00"/>
    </cacheField>
    <cacheField name="Tipologia" numFmtId="0">
      <sharedItems containsBlank="1"/>
    </cacheField>
    <cacheField name="Responsabl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de la Matta" refreshedDate="46037.481843055553" createdVersion="8" refreshedVersion="8" minRefreshableVersion="3" recordCount="204" xr:uid="{8AA4D685-AD5B-4F89-A98F-7D36B9564CF3}">
  <cacheSource type="worksheet">
    <worksheetSource name="Tabla6[[Nº]:[Orden de transporte]]"/>
  </cacheSource>
  <cacheFields count="30">
    <cacheField name="Nº" numFmtId="0">
      <sharedItems containsNonDate="0" containsString="0" containsBlank="1"/>
    </cacheField>
    <cacheField name="F. Incid." numFmtId="14">
      <sharedItems containsNonDate="0" containsString="0" containsBlank="1"/>
    </cacheField>
    <cacheField name="KU MP" numFmtId="14">
      <sharedItems containsNonDate="0" containsString="0" containsBlank="1"/>
    </cacheField>
    <cacheField name="Responsable MAIN PAPER" numFmtId="0">
      <sharedItems containsNonDate="0" containsString="0" containsBlank="1"/>
    </cacheField>
    <cacheField name="TIPO" numFmtId="0">
      <sharedItems containsNonDate="0" containsString="0" containsBlank="1"/>
    </cacheField>
    <cacheField name="Tipo según ALTIM" numFmtId="0">
      <sharedItems containsNonDate="0" containsBlank="1" count="8">
        <m/>
        <s v="Proyecto" u="1"/>
        <s v="Evolutivo" u="1"/>
        <s v="Petición" u="1"/>
        <s v="Incidencia" u="1"/>
        <s v="Consulta" u="1"/>
        <s v="Formación" u="1"/>
        <s v="Gestión" u="1"/>
      </sharedItems>
    </cacheField>
    <cacheField name="Módulo" numFmtId="0">
      <sharedItems containsNonDate="0" containsString="0" containsBlank="1"/>
    </cacheField>
    <cacheField name="Bloque" numFmtId="165">
      <sharedItems containsNonDate="0" containsBlank="1" count="8">
        <m/>
        <s v="BLOQUE 1 – Extracción cierre 2024" u="1"/>
        <s v="BLOQUE 2 – NAV 2024" u="1"/>
        <s v="BLOQUE 4 – Cierre SAP 2024" u="1"/>
        <s v="BLOQUE 3 – Correcciones y ajustes 2025" u="1"/>
        <s v="BLOQUE 5 – Soporte a operativa diaria SAP" u="1"/>
        <s v="BLOQUE 6 – SGA" u="1"/>
        <s v="BLOQUE 7 – Evolutivos y CRM" u="1"/>
      </sharedItems>
    </cacheField>
    <cacheField name="Descripción / Documento " numFmtId="0">
      <sharedItems containsNonDate="0" containsString="0" containsBlank="1"/>
    </cacheField>
    <cacheField name="问题痛点" numFmtId="0">
      <sharedItems containsNonDate="0" containsString="0" containsBlank="1"/>
    </cacheField>
    <cacheField name="Observaciones" numFmtId="0">
      <sharedItems containsNonDate="0" containsString="0" containsBlank="1"/>
    </cacheField>
    <cacheField name="Prioridad" numFmtId="0">
      <sharedItems containsNonDate="0" containsString="0" containsBlank="1"/>
    </cacheField>
    <cacheField name="Comentarios" numFmtId="0">
      <sharedItems containsNonDate="0" containsString="0" containsBlank="1"/>
    </cacheField>
    <cacheField name="Sistema" numFmtId="0">
      <sharedItems containsNonDate="0" containsString="0" containsBlank="1"/>
    </cacheField>
    <cacheField name="Responsable Altim" numFmtId="0">
      <sharedItems containsNonDate="0" containsString="0" containsBlank="1"/>
    </cacheField>
    <cacheField name="Estado" numFmtId="0">
      <sharedItems containsNonDate="0" containsBlank="1" count="24">
        <m/>
        <s v="91Cerrada" u="1"/>
        <s v="7Parada por MP" u="1"/>
        <s v="4Pte Info MP" u="1"/>
        <s v="92Descartada" u="1"/>
        <s v="5Pte de Pruebas MP" u="1"/>
        <s v="1En proceso" u="1"/>
        <s v="8Abierta" u="1"/>
        <s v="3Entregada" u="1"/>
        <s v="9Nueva" u="1"/>
        <s v="93Duplicada" u="1"/>
        <s v="12Duplicada" u="1"/>
        <s v="Nueva" u="1"/>
        <s v="10Cerrada" u="1"/>
        <s v="11Descartada" u="1"/>
        <s v="Cerrada" u="1"/>
        <s v="En proceso" u="1"/>
        <s v="Parada por MP" u="1"/>
        <s v="Descartada" u="1"/>
        <s v="Entregada" u="1"/>
        <s v="Pte Info MP" u="1"/>
        <s v="Pte de Pruebas MP" u="1"/>
        <s v="Abierta" u="1"/>
        <s v="Duplicada" u="1"/>
      </sharedItems>
    </cacheField>
    <cacheField name="F.Entrega" numFmtId="14">
      <sharedItems containsNonDate="0" containsString="0" containsBlank="1"/>
    </cacheField>
    <cacheField name="F. Cierre_x000a_Prevista" numFmtId="14">
      <sharedItems containsNonDate="0" containsString="0" containsBlank="1"/>
    </cacheField>
    <cacheField name="Semana planificada" numFmtId="14">
      <sharedItems containsNonDate="0" containsString="0" containsBlank="1"/>
    </cacheField>
    <cacheField name="Opsevaciones de retraso" numFmtId="0">
      <sharedItems containsNonDate="0" containsString="0" containsBlank="1"/>
    </cacheField>
    <cacheField name="Pais" numFmtId="14">
      <sharedItems containsNonDate="0" containsString="0" containsBlank="1"/>
    </cacheField>
    <cacheField name="Fecha Cierre Real" numFmtId="0">
      <sharedItems containsNonDate="0" containsString="0" containsBlank="1"/>
    </cacheField>
    <cacheField name="Motivo de Retraso" numFmtId="0">
      <sharedItems containsNonDate="0" containsString="0" containsBlank="1"/>
    </cacheField>
    <cacheField name="¿Bloqueante para arranque?" numFmtId="0">
      <sharedItems containsNonDate="0" containsString="0" containsBlank="1"/>
    </cacheField>
    <cacheField name="¿Error de proceso o usuario?" numFmtId="0">
      <sharedItems containsNonDate="0" containsString="0" containsBlank="1"/>
    </cacheField>
    <cacheField name="Orden" numFmtId="1">
      <sharedItems containsNonDate="0" containsString="0" containsBlank="1"/>
    </cacheField>
    <cacheField name="Riesgo" numFmtId="165">
      <sharedItems containsNonDate="0" containsString="0" containsBlank="1"/>
    </cacheField>
    <cacheField name="Horas Invertidas" numFmtId="1">
      <sharedItems containsNonDate="0" containsString="0" containsBlank="1"/>
    </cacheField>
    <cacheField name="Resumen a 27/05/2025" numFmtId="0">
      <sharedItems containsNonDate="0" containsString="0" containsBlank="1"/>
    </cacheField>
    <cacheField name="Orden de transpor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de la Matta" refreshedDate="46037.481924305554" createdVersion="8" refreshedVersion="8" minRefreshableVersion="3" recordCount="204" xr:uid="{2F65BAF2-EE04-484F-AB15-4BF0B21915FC}">
  <cacheSource type="worksheet">
    <worksheetSource ref="B8:P211" sheet="Incidencias"/>
  </cacheSource>
  <cacheFields count="25">
    <cacheField name="Nº" numFmtId="0">
      <sharedItems containsNonDate="0" containsString="0" containsBlank="1"/>
    </cacheField>
    <cacheField name="F. Incid." numFmtId="14">
      <sharedItems containsNonDate="0" containsString="0" containsBlank="1"/>
    </cacheField>
    <cacheField name="KU MP" numFmtId="14">
      <sharedItems containsNonDate="0" containsString="0" containsBlank="1"/>
    </cacheField>
    <cacheField name="Responsable MAIN PAPER" numFmtId="0">
      <sharedItems containsNonDate="0" containsString="0" containsBlank="1"/>
    </cacheField>
    <cacheField name="TIPO" numFmtId="0">
      <sharedItems containsNonDate="0" containsBlank="1" count="3">
        <m/>
        <s v="Incidencia" u="1"/>
        <s v="Consulta" u="1"/>
      </sharedItems>
    </cacheField>
    <cacheField name="Tipo según ALTIM" numFmtId="0">
      <sharedItems containsNonDate="0" containsString="0" containsBlank="1"/>
    </cacheField>
    <cacheField name="Módulo" numFmtId="0">
      <sharedItems containsNonDate="0" containsString="0" containsBlank="1"/>
    </cacheField>
    <cacheField name="Bloque" numFmtId="165">
      <sharedItems containsNonDate="0" containsString="0" containsBlank="1"/>
    </cacheField>
    <cacheField name="Descripción / Documento " numFmtId="0">
      <sharedItems containsNonDate="0" containsString="0" containsBlank="1"/>
    </cacheField>
    <cacheField name="问题痛点" numFmtId="0">
      <sharedItems containsNonDate="0" containsString="0" containsBlank="1"/>
    </cacheField>
    <cacheField name="Observaciones" numFmtId="0">
      <sharedItems containsNonDate="0" containsString="0" containsBlank="1"/>
    </cacheField>
    <cacheField name="Prioridad" numFmtId="0">
      <sharedItems containsNonDate="0" containsBlank="1" count="6">
        <m/>
        <s v="Alta" u="1"/>
        <s v="Sin prioridad" u="1"/>
        <s v="Media" u="1"/>
        <s v="Baja" u="1"/>
        <s v="Crítica" u="1"/>
      </sharedItems>
    </cacheField>
    <cacheField name="Comentarios" numFmtId="0">
      <sharedItems containsNonDate="0" containsString="0" containsBlank="1"/>
    </cacheField>
    <cacheField name="Sistema" numFmtId="0">
      <sharedItems containsNonDate="0" containsString="0" containsBlank="1"/>
    </cacheField>
    <cacheField name="Responsable Altim" numFmtId="0">
      <sharedItems containsNonDate="0" containsString="0" containsBlank="1"/>
    </cacheField>
    <cacheField name="Estado" numFmtId="0">
      <sharedItems containsNonDate="0" containsString="0" containsBlank="1"/>
    </cacheField>
    <cacheField name="F.Entrega" numFmtId="14">
      <sharedItems containsNonDate="0" containsString="0" containsBlank="1"/>
    </cacheField>
    <cacheField name="F. Cierre_x000a_Prevista" numFmtId="14">
      <sharedItems containsNonDate="0" containsString="0" containsBlank="1"/>
    </cacheField>
    <cacheField name="Semana planificada" numFmtId="14">
      <sharedItems containsNonDate="0" containsString="0" containsBlank="1"/>
    </cacheField>
    <cacheField name="Opsevaciones de retraso" numFmtId="0">
      <sharedItems containsNonDate="0" containsString="0" containsBlank="1"/>
    </cacheField>
    <cacheField name="Pais" numFmtId="14">
      <sharedItems containsNonDate="0" containsString="0" containsBlank="1"/>
    </cacheField>
    <cacheField name="Fecha Cierre Real" numFmtId="0">
      <sharedItems containsNonDate="0" containsString="0" containsBlank="1"/>
    </cacheField>
    <cacheField name="Motivo de Retraso" numFmtId="0">
      <sharedItems containsNonDate="0" containsString="0" containsBlank="1"/>
    </cacheField>
    <cacheField name="¿Bloqueante para arranque?" numFmtId="0">
      <sharedItems containsNonDate="0" containsString="0" containsBlank="1"/>
    </cacheField>
    <cacheField name="¿Error de proceso o usuari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aro de la Matta" refreshedDate="46037.481979629629" createdVersion="7" refreshedVersion="8" minRefreshableVersion="3" recordCount="204" xr:uid="{892ADCA4-82A7-456F-9DC2-D1CD854702FE}">
  <cacheSource type="worksheet">
    <worksheetSource ref="B8:P211" sheet="Incidencias"/>
  </cacheSource>
  <cacheFields count="22">
    <cacheField name="Nº" numFmtId="0">
      <sharedItems containsNonDate="0" containsString="0" containsBlank="1" containsNumber="1" containsInteger="1" minValue="1" maxValue="329" count="329">
        <m/>
        <n v="96" u="1"/>
        <n v="135" u="1"/>
        <n v="206" u="1"/>
        <n v="298" u="1"/>
        <n v="57" u="1"/>
        <n v="121" u="1"/>
        <n v="185" u="1"/>
        <n v="256" u="1"/>
        <n v="327" u="1"/>
        <n v="34" u="1"/>
        <n v="75" u="1"/>
        <n v="164" u="1"/>
        <n v="235" u="1"/>
        <n v="285" u="1"/>
        <n v="100" u="1"/>
        <n v="143" u="1"/>
        <n v="214" u="1"/>
        <n v="314" u="1"/>
        <n v="13" u="1"/>
        <n v="59" u="1"/>
        <n v="125" u="1"/>
        <n v="193" u="1"/>
        <n v="272" u="1"/>
        <n v="36" u="1"/>
        <n v="79" u="1"/>
        <n v="172" u="1"/>
        <n v="243" u="1"/>
        <n v="301" u="1"/>
        <n v="104" u="1"/>
        <n v="151" u="1"/>
        <n v="222" u="1"/>
        <n v="259" u="1"/>
        <n v="61" u="1"/>
        <n v="130" u="1"/>
        <n v="201" u="1"/>
        <n v="288" u="1"/>
        <n v="38" u="1"/>
        <n v="83" u="1"/>
        <n v="180" u="1"/>
        <n v="251" u="1"/>
        <n v="317" u="1"/>
        <n v="5" u="1"/>
        <n v="108" u="1"/>
        <n v="159" u="1"/>
        <n v="230" u="1"/>
        <n v="275" u="1"/>
        <n v="14" u="1"/>
        <n v="63" u="1"/>
        <n v="138" u="1"/>
        <n v="209" u="1"/>
        <n v="304" u="1"/>
        <n v="40" u="1"/>
        <n v="87" u="1"/>
        <n v="188" u="1"/>
        <n v="262" u="1"/>
        <n v="112" u="1"/>
        <n v="167" u="1"/>
        <n v="238" u="1"/>
        <n v="291" u="1"/>
        <n v="66" u="1"/>
        <n v="146" u="1"/>
        <n v="217" u="1"/>
        <n v="320" u="1"/>
        <n v="42" u="1"/>
        <n v="91" u="1"/>
        <n v="196" u="1"/>
        <n v="278" u="1"/>
        <n v="116" u="1"/>
        <n v="175" u="1"/>
        <n v="246" u="1"/>
        <n v="307" u="1"/>
        <n v="15" u="1"/>
        <n v="70" u="1"/>
        <n v="154" u="1"/>
        <n v="225" u="1"/>
        <n v="265" u="1"/>
        <n v="44" u="1"/>
        <n v="95" u="1"/>
        <n v="133" u="1"/>
        <n v="204" u="1"/>
        <n v="294" u="1"/>
        <n v="120" u="1"/>
        <n v="183" u="1"/>
        <n v="254" u="1"/>
        <n v="323" u="1"/>
        <n v="74" u="1"/>
        <n v="162" u="1"/>
        <n v="233" u="1"/>
        <n v="281" u="1"/>
        <n v="2" u="1"/>
        <n v="46" u="1"/>
        <n v="99" u="1"/>
        <n v="141" u="1"/>
        <n v="212" u="1"/>
        <n v="310" u="1"/>
        <n v="6" u="1"/>
        <n v="124" u="1"/>
        <n v="191" u="1"/>
        <n v="268" u="1"/>
        <n v="16" u="1"/>
        <n v="78" u="1"/>
        <n v="170" u="1"/>
        <n v="241" u="1"/>
        <n v="297" u="1"/>
        <n v="48" u="1"/>
        <n v="103" u="1"/>
        <n v="149" u="1"/>
        <n v="220" u="1"/>
        <n v="326" u="1"/>
        <n v="128" u="1"/>
        <n v="199" u="1"/>
        <n v="284" u="1"/>
        <n v="17" u="1"/>
        <n v="82" u="1"/>
        <n v="178" u="1"/>
        <n v="249" u="1"/>
        <n v="313" u="1"/>
        <n v="50" u="1"/>
        <n v="107" u="1"/>
        <n v="157" u="1"/>
        <n v="228" u="1"/>
        <n v="271" u="1"/>
        <n v="136" u="1"/>
        <n v="207" u="1"/>
        <n v="300" u="1"/>
        <n v="18" u="1"/>
        <n v="86" u="1"/>
        <n v="186" u="1"/>
        <n v="258" u="1"/>
        <n v="329" u="1"/>
        <n v="52" u="1"/>
        <n v="111" u="1"/>
        <n v="165" u="1"/>
        <n v="236" u="1"/>
        <n v="287" u="1"/>
        <n v="65" u="1"/>
        <n v="144" u="1"/>
        <n v="215" u="1"/>
        <n v="316" u="1"/>
        <n v="19" u="1"/>
        <n v="90" u="1"/>
        <n v="194" u="1"/>
        <n v="274" u="1"/>
        <n v="54" u="1"/>
        <n v="115" u="1"/>
        <n v="173" u="1"/>
        <n v="244" u="1"/>
        <n v="303" u="1"/>
        <n v="7" u="1"/>
        <n v="69" u="1"/>
        <n v="223" u="1"/>
        <n v="261" u="1"/>
        <n v="20" u="1"/>
        <n v="94" u="1"/>
        <n v="131" u="1"/>
        <n v="202" u="1"/>
        <n v="290" u="1"/>
        <n v="56" u="1"/>
        <n v="119" u="1"/>
        <n v="181" u="1"/>
        <n v="252" u="1"/>
        <n v="319" u="1"/>
        <n v="33" u="1"/>
        <n v="73" u="1"/>
        <n v="160" u="1"/>
        <n v="231" u="1"/>
        <n v="277" u="1"/>
        <n v="21" u="1"/>
        <n v="98" u="1"/>
        <n v="139" u="1"/>
        <n v="210" u="1"/>
        <n v="306" u="1"/>
        <n v="58" u="1"/>
        <n v="123" u="1"/>
        <n v="189" u="1"/>
        <n v="264" u="1"/>
        <n v="35" u="1"/>
        <n v="77" u="1"/>
        <n v="168" u="1"/>
        <n v="239" u="1"/>
        <n v="293" u="1"/>
        <n v="22" u="1"/>
        <n v="102" u="1"/>
        <n v="147" u="1"/>
        <n v="218" u="1"/>
        <n v="322" u="1"/>
        <n v="60" u="1"/>
        <n v="127" u="1"/>
        <n v="197" u="1"/>
        <n v="280" u="1"/>
        <n v="37" u="1"/>
        <n v="81" u="1"/>
        <n v="176" u="1"/>
        <n v="247" u="1"/>
        <n v="309" u="1"/>
        <n v="1" u="1"/>
        <n v="23" u="1"/>
        <n v="106" u="1"/>
        <n v="155" u="1"/>
        <n v="226" u="1"/>
        <n v="267" u="1"/>
        <n v="3" u="1"/>
        <n v="62" u="1"/>
        <n v="134" u="1"/>
        <n v="205" u="1"/>
        <n v="296" u="1"/>
        <n v="8" u="1"/>
        <n v="39" u="1"/>
        <n v="85" u="1"/>
        <n v="184" u="1"/>
        <n v="255" u="1"/>
        <n v="325" u="1"/>
        <n v="24" u="1"/>
        <n v="110" u="1"/>
        <n v="163" u="1"/>
        <n v="234" u="1"/>
        <n v="283" u="1"/>
        <n v="64" u="1"/>
        <n v="142" u="1"/>
        <n v="213" u="1"/>
        <n v="312" u="1"/>
        <n v="41" u="1"/>
        <n v="89" u="1"/>
        <n v="192" u="1"/>
        <n v="270" u="1"/>
        <n v="25" u="1"/>
        <n v="114" u="1"/>
        <n v="171" u="1"/>
        <n v="242" u="1"/>
        <n v="299" u="1"/>
        <n v="68" u="1"/>
        <n v="150" u="1"/>
        <n v="221" u="1"/>
        <n v="257" u="1"/>
        <n v="328" u="1"/>
        <n v="9" u="1"/>
        <n v="43" u="1"/>
        <n v="93" u="1"/>
        <n v="129" u="1"/>
        <n v="200" u="1"/>
        <n v="286" u="1"/>
        <n v="26" u="1"/>
        <n v="118" u="1"/>
        <n v="179" u="1"/>
        <n v="250" u="1"/>
        <n v="315" u="1"/>
        <n v="72" u="1"/>
        <n v="158" u="1"/>
        <n v="229" u="1"/>
        <n v="273" u="1"/>
        <n v="45" u="1"/>
        <n v="97" u="1"/>
        <n v="137" u="1"/>
        <n v="208" u="1"/>
        <n v="302" u="1"/>
        <n v="27" u="1"/>
        <n v="122" u="1"/>
        <n v="187" u="1"/>
        <n v="260" u="1"/>
        <n v="76" u="1"/>
        <n v="166" u="1"/>
        <n v="237" u="1"/>
        <n v="289" u="1"/>
        <n v="10" u="1"/>
        <n v="47" u="1"/>
        <n v="101" u="1"/>
        <n v="145" u="1"/>
        <n v="216" u="1"/>
        <n v="318" u="1"/>
        <n v="28" u="1"/>
        <n v="126" u="1"/>
        <n v="195" u="1"/>
        <n v="276" u="1"/>
        <n v="80" u="1"/>
        <n v="174" u="1"/>
        <n v="245" u="1"/>
        <n v="305" u="1"/>
        <n v="49" u="1"/>
        <n v="105" u="1"/>
        <n v="153" u="1"/>
        <n v="224" u="1"/>
        <n v="263" u="1"/>
        <n v="29" u="1"/>
        <n v="132" u="1"/>
        <n v="203" u="1"/>
        <n v="292" u="1"/>
        <n v="84" u="1"/>
        <n v="182" u="1"/>
        <n v="253" u="1"/>
        <n v="321" u="1"/>
        <n v="11" u="1"/>
        <n v="51" u="1"/>
        <n v="109" u="1"/>
        <n v="161" u="1"/>
        <n v="232" u="1"/>
        <n v="279" u="1"/>
        <n v="30" u="1"/>
        <n v="140" u="1"/>
        <n v="211" u="1"/>
        <n v="308" u="1"/>
        <n v="88" u="1"/>
        <n v="190" u="1"/>
        <n v="266" u="1"/>
        <n v="53" u="1"/>
        <n v="113" u="1"/>
        <n v="169" u="1"/>
        <n v="240" u="1"/>
        <n v="295" u="1"/>
        <n v="31" u="1"/>
        <n v="67" u="1"/>
        <n v="148" u="1"/>
        <n v="219" u="1"/>
        <n v="324" u="1"/>
        <n v="4" u="1"/>
        <n v="92" u="1"/>
        <n v="198" u="1"/>
        <n v="282" u="1"/>
        <n v="12" u="1"/>
        <n v="55" u="1"/>
        <n v="117" u="1"/>
        <n v="177" u="1"/>
        <n v="248" u="1"/>
        <n v="311" u="1"/>
        <n v="32" u="1"/>
        <n v="71" u="1"/>
        <n v="156" u="1"/>
        <n v="227" u="1"/>
        <n v="269" u="1"/>
      </sharedItems>
    </cacheField>
    <cacheField name="F. Incid." numFmtId="14">
      <sharedItems containsNonDate="0" containsString="0" containsBlank="1"/>
    </cacheField>
    <cacheField name="KU MP" numFmtId="14">
      <sharedItems containsNonDate="0" containsString="0" containsBlank="1"/>
    </cacheField>
    <cacheField name="Responsable MAIN PAPER" numFmtId="0">
      <sharedItems containsNonDate="0" containsString="0" containsBlank="1"/>
    </cacheField>
    <cacheField name="TIPO" numFmtId="0">
      <sharedItems containsNonDate="0" containsBlank="1" count="6">
        <m/>
        <s v="Incidencia" u="1"/>
        <s v="Consulta" u="1"/>
        <s v="Petición" u="1"/>
        <s v="Duda" u="1"/>
        <s v="Mejora" u="1"/>
      </sharedItems>
    </cacheField>
    <cacheField name="Tipo según ALTIM" numFmtId="0">
      <sharedItems containsNonDate="0" containsString="0" containsBlank="1"/>
    </cacheField>
    <cacheField name="Módulo" numFmtId="0">
      <sharedItems containsNonDate="0" containsString="0" containsBlank="1"/>
    </cacheField>
    <cacheField name="Bloque" numFmtId="165">
      <sharedItems containsNonDate="0" containsString="0" containsBlank="1"/>
    </cacheField>
    <cacheField name="Descripción / Documento " numFmtId="0">
      <sharedItems containsNonDate="0" containsString="0" containsBlank="1"/>
    </cacheField>
    <cacheField name="问题痛点" numFmtId="0">
      <sharedItems containsNonDate="0" containsString="0" containsBlank="1"/>
    </cacheField>
    <cacheField name="Observaciones" numFmtId="0">
      <sharedItems containsNonDate="0" containsString="0" containsBlank="1"/>
    </cacheField>
    <cacheField name="Prioridad" numFmtId="0">
      <sharedItems containsNonDate="0" containsBlank="1" count="6">
        <m/>
        <s v="Alta" u="1"/>
        <s v="Sin prioridad" u="1"/>
        <s v="Media" u="1"/>
        <s v="Baja" u="1"/>
        <s v="Crítica" u="1"/>
      </sharedItems>
    </cacheField>
    <cacheField name="Comentarios" numFmtId="0">
      <sharedItems containsNonDate="0" containsString="0" containsBlank="1"/>
    </cacheField>
    <cacheField name="Sistema" numFmtId="0">
      <sharedItems containsNonDate="0" containsString="0" containsBlank="1"/>
    </cacheField>
    <cacheField name="Responsable Altim" numFmtId="0">
      <sharedItems containsNonDate="0" containsBlank="1" count="15">
        <m/>
        <s v="AHY" u="1"/>
        <s v="M.A" u="1"/>
        <s v="MPP" u="1"/>
        <s v="LCC" u="1"/>
        <s v="RMB" u="1"/>
        <s v="LJS" u="1"/>
        <s v="AL" u="1"/>
        <s v="ADM" u="1"/>
        <s v="MCR" u="1"/>
        <s v="Amal Hilal Yaalaoui" u="1"/>
        <s v="Marta de Paz Perez" u="1"/>
        <s v="Mónica Casaseca Riesco" u="1"/>
        <s v="Leandro Cano Contreras" u="1"/>
        <s v="Miguel Angel Sánchez Sánchez" u="1"/>
      </sharedItems>
    </cacheField>
    <cacheField name="Estado" numFmtId="0">
      <sharedItems containsNonDate="0" containsBlank="1" count="25">
        <m/>
        <s v="91Cerrada" u="1"/>
        <s v="7Parada por MP" u="1"/>
        <s v="4Pte Info MP" u="1"/>
        <s v="92Descartada" u="1"/>
        <s v="5Pte de Pruebas MP" u="1"/>
        <s v="1En proceso" u="1"/>
        <s v="8Abierta" u="1"/>
        <s v="3Entregada" u="1"/>
        <s v="9Nueva" u="1"/>
        <s v="93Duplicada" u="1"/>
        <s v="12Duplicada" u="1"/>
        <s v="Cerrada" u="1"/>
        <s v="Nueva" u="1"/>
        <s v="Parada por MP" u="1"/>
        <s v="Entregada" u="1"/>
        <s v="En proceso" u="1"/>
        <s v="Duplicada" u="1"/>
        <s v="Pte de Pruebas MP" u="1"/>
        <s v="Abierta" u="1"/>
        <s v="Descartada" u="1"/>
        <s v="Pte Info MP" u="1"/>
        <s v="Retrasada MP" u="1"/>
        <s v="Info cliente" u="1"/>
        <s v="Pte Info cliente" u="1"/>
      </sharedItems>
    </cacheField>
    <cacheField name="F.Entrega" numFmtId="14">
      <sharedItems containsNonDate="0" containsString="0" containsBlank="1"/>
    </cacheField>
    <cacheField name="F. Cierre_x000a_Prevista" numFmtId="14">
      <sharedItems containsNonDate="0" containsString="0" containsBlank="1"/>
    </cacheField>
    <cacheField name="Semana planificada" numFmtId="14">
      <sharedItems containsNonDate="0" containsString="0" containsBlank="1"/>
    </cacheField>
    <cacheField name="Opsevaciones de retraso" numFmtId="0">
      <sharedItems containsNonDate="0" containsString="0" containsBlank="1"/>
    </cacheField>
    <cacheField name="Pais" numFmtId="14">
      <sharedItems containsNonDate="0" containsString="0" containsBlank="1"/>
    </cacheField>
    <cacheField name="Fecha Cierre Re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s v="MP-0001"/>
    <d v="2025-04-28T00:00:00"/>
    <s v="Ana, Marta, Susana, Luna"/>
    <s v="Isabel, Felipe"/>
    <x v="0"/>
    <s v="Proyecto"/>
    <x v="0"/>
    <s v="BLOQUE 1 – Extracción cierre 2024"/>
    <s v="Cierre contable 2024 - Extraccion de Información"/>
    <s v="2024年财务关账"/>
    <m/>
    <s v="Alta"/>
    <s v="29/04/2025 MA: Se ha hecho una primera reunión donde se pide cierta información y la estructua del fichero._x000a_05/05/2025 MA: Clientes - Pendiente, se ha pedido mas información , incluir el indicador de iVA y las cuentas del grupo 7 para casar con la BI del albaran_x000a_                               Proveedores - En proceso, ha habido una confusión de fechas_x000a_                               Caja - Entregado._x000a_                               Bancos - Entregado._x000a_06/05/2025 MA: Clientes - Pendiente, se ha pedido mas información , incluir el indicador de iVA y el diario de las cuentas del grupo 7 para casar con la BI del albaran._x000a_08/05/2025 Se pide que se extraiga la factura de diciembre , nº documento , importe, II , BI para casar con las facturas enviadas al SII._x000a_12/05/2025 A lo largo del día de hoy se envia albaranes on clo que se ha reportado en el SII._x000a_                       Revisado 2024 y enviar durante la mañana._x000a_13/05/2025 Se ha enviado los siguiente conceotos que se han pedido:_x000a_                      - Proveedores, para realizar la provisión._x000a_                      - Partidas individuales de Caja y cliente._x000a_                      - Partidas de clientes 2024 y 2025 cruzando con la información enviada al SII._x000a_                                    Alabranes Facturados._x000a_                                    Albaranes sin facturar_x000a_14/05/2025 Se pide que se identifique los documentos del SII anulados._x000a_16/05/2025 Cruzado los documentos que se han anulado y han sido enviados al SII._x000a_                       Añadir el campo ceco al fichero de caja hecho_x000a_                       Recibidos ficheros del primer trimestre para documentos de diciembre_x000a_                       G1: Facturas contabilizadas en diciembre 24 y con albarán en diciembre 24 presentadas al SII._x000a_                       G2: Facturas contabilizadas en enero 25 y con albarán en diciembre 24 presentadas al SII._x000a_                       G3: Facturas contabilizadas en diciembre 24 y con albarán en diciembre 24 NO presentadas al SII._x000a_                       G4: Facturas contabilizadas en enero 25 y con albarán en diciembre 24 NO presentadas al SII._x000a_Grupo 1 con el formato solicitado hoy por @Lu Wang para probar a cargarlo en Navision_x000a_CONFIRMAR CON ISABEL SI NECESITA ALGUNA EXTRACCIÓN ADICIONL_x000a_19/05/2025 Susan manda un numero de 233 facturas que no deben de tenerse en cuenta porque son facturas rectificativas o periodificaciones_x000a_Se resume el siguiente avance:_x000a_G1: Facturas contabilizadas en diciembre 24 y con albarán en diciembre 24 presentadas al SII. Grupo ok, contabilizar ya en Navision. Quedo al pendiente de confirmación de la carga en Navision_x000a_G2: Facturas contabilizadas en enero 25 y con albarán en diciembre 24 presentadas al SII. Si están en el SII en 25, necesito saber el importe, para que la dirección decida. El importe total de este grupo es: 468.671,50€_x000a_G3: Facturas contabilizadas en diciembre 24 y con albarán en diciembre 24 NO presentadas al SII. Grupo ok, contabilizar en Navision. Ojo, no duplicar facturas. Revisaré este grupo por cliente e importe, os informaré en cuanto tenga alguna novedad._x000a_G4: Facturas contabilizadas en enero 25 y con albarán en diciembre 24 NO presentadas al SII. Depende del importe. Decidir dirección. El importe total de este grupo es: 205.721,80€  _x000a_20/05/2025 Nueva extracción a la espera de estos G2 Facturas contabilizadas en enero 25 y con albarán en diciembre 24 presentadas al SII_x000a_G4 Facturas contabilizadas en enero 25 y con albarán en diciembre 24 NO presentadas al SII_x000a_20/05/2025 se elimina la primera fecha de entrga 19/05/2025_x000a_21/05/2025 Se analiza revisión por parte de MP y se incorpora al envio el G7_x000a_                      Se revisa las preguntas sobre la extraccion ya que surgen muchas sin resolver_x000a_21/05/2025 Se solicita informacion y se envia los documentos listos para subiar a navision_x000a_26/05/2025 Revisando albaranes -/Extrayendo albaranes de 2025, enviados al SII y facturados en el 2024 identificado el viernes por Amal._x000a_28/05/2025 Extracción de datos_x000a_02/06/2025 Se cierra la incidencia"/>
    <s v="S4/hana"/>
    <s v="AHY"/>
    <x v="0"/>
    <d v="2025-05-25T00:00:00"/>
    <d v="2025-05-26T00:00:00"/>
    <d v="2025-05-26T00:00:00"/>
    <s v="Petición adicional por parte de MP"/>
    <s v="ES"/>
    <d v="2025-06-02T00:00:00"/>
    <s v="Nuevos Requerimientos"/>
    <s v="No"/>
    <s v="Proceso"/>
    <n v="1"/>
    <s v="Medio"/>
    <n v="49"/>
  </r>
  <r>
    <s v="MP-00011"/>
    <d v="2025-05-14T00:00:00"/>
    <s v="Ana, Marta, Susana, Luna"/>
    <s v="Isabel, Felipe"/>
    <x v="1"/>
    <s v="Proyecto"/>
    <x v="0"/>
    <s v="BLOQUE 2 – NAV 2024"/>
    <s v="Cierre contable 2024 - Manipulacion de ficheros para cargar en navision de información extraida"/>
    <s v="2024年财务关账"/>
    <m/>
    <s v="Alta"/>
    <s v="16/05/2025 Manipulación de ficheros a cargar en Navisión, se ha entregado 1 grupo específico , se esta confirmando dicha información._x000a_21/06/2025 Se cambia la fecha de entrega por si es necesario modificar ficheros/Entregados todos los ficheros_x000a_28/05/2025 Extracción de datos_x000a_02/06/2025 Se cierra"/>
    <s v="S4/hana"/>
    <s v="AHY"/>
    <x v="0"/>
    <d v="2025-06-02T00:00:00"/>
    <d v="2025-06-09T00:00:00"/>
    <d v="2025-06-09T00:00:00"/>
    <s v="Petición adicional por parte de MP"/>
    <s v="ES"/>
    <d v="2025-06-02T00:00:00"/>
    <s v="Sin retraso"/>
    <m/>
    <m/>
    <n v="1"/>
    <s v="Medio"/>
    <n v="39"/>
  </r>
  <r>
    <s v="MP-00012"/>
    <d v="2025-05-20T00:00:00"/>
    <s v="Ana, Marta, Susana, Luna"/>
    <s v="Isabel, Felipe"/>
    <x v="1"/>
    <s v="Proyecto"/>
    <x v="0"/>
    <s v="BLOQUE 1 – Extracción cierre 2024"/>
    <s v="Cierre contable 2024 - Información SII"/>
    <s v="2024年财务关账"/>
    <m/>
    <s v="Alta"/>
    <s v="21/05/2025 Se solicita informacion y se envia los documentos listos para subiar a navision_x000a_22/05/2025 Realizado/Cerrada_x000a_28/05/2025 Extracción de datos_x000a_02/06/2025 Se cierra"/>
    <s v="S4/hana"/>
    <s v="AHY"/>
    <x v="0"/>
    <d v="2025-05-31T00:00:00"/>
    <d v="2025-06-07T00:00:00"/>
    <d v="2025-06-07T00:00:00"/>
    <m/>
    <s v="ES"/>
    <d v="2025-06-02T00:00:00"/>
    <s v="Sin retraso"/>
    <m/>
    <m/>
    <n v="1"/>
    <s v="Medio"/>
    <n v="29.5"/>
  </r>
  <r>
    <s v="MP-00013"/>
    <d v="2025-05-21T00:00:00"/>
    <s v="Ana, Marta, Susana, Luna"/>
    <s v="Isabel"/>
    <x v="1"/>
    <s v="Proyecto"/>
    <x v="0"/>
    <s v="BLOQUE 4 – Cierre SAP 2024"/>
    <s v="Cierre contable 2024 - Carga de Saldos en SAP"/>
    <s v="2024年财务关账"/>
    <m/>
    <s v="Alta"/>
    <s v="22/05/2025 Se abre para registrar los saldos en SAP despues del cierre/_x000a_28/05/2028 Se replanifica porque se ha entrado el 28/05 la carga en vavisión."/>
    <s v="S4/hana"/>
    <s v="AHY"/>
    <x v="1"/>
    <d v="2025-06-30T00:00:00"/>
    <d v="2025-07-07T00:00:00"/>
    <d v="2025-07-07T00:00:00"/>
    <s v="Se identifica los requerimientos poco a poco y se replanifcia la carga de saldos pendiente de confirmar que es necesario cargar."/>
    <s v="ES"/>
    <m/>
    <s v="Revision por parte de MP"/>
    <m/>
    <s v="Proceso"/>
    <n v="1"/>
    <s v="Medio"/>
    <n v="0"/>
  </r>
  <r>
    <s v="MP-00014"/>
    <d v="2025-02-03T00:00:00"/>
    <m/>
    <s v="Susana, Ana"/>
    <x v="1"/>
    <s v="Proyecto"/>
    <x v="0"/>
    <s v="BLOQUE 4 – Cierre SAP 2024"/>
    <s v="facturas de fecha de asiento contable 31/12/2024 contabilizadas del 01/01/2025 a 30/03/2025. Peridodificaciones"/>
    <m/>
    <m/>
    <s v="Alta"/>
    <s v="03/06/2025 de las periodificaciones del 2024 de proveedores hemos visto que no tenemos facturas contabilizadas a 31/12/2024._x000a_04/06/2025 Se entrega el fichero_x000a__x000a_ _x000a__x000a_Por favor podéis revisar el fichero y mandarme las facturas de fecha de siento contable 31/12/2024 contabilizadas del 01/01/2025 a 30/03/2025._x000a__x000a_ _x000a__x000a_ "/>
    <m/>
    <s v="AHY"/>
    <x v="0"/>
    <d v="2025-06-05T00:00:00"/>
    <d v="2025-06-12T00:00:00"/>
    <d v="2025-06-12T00:00:00"/>
    <m/>
    <s v="ES"/>
    <d v="2025-06-05T00:00:00"/>
    <s v="Sin retraso"/>
    <m/>
    <m/>
    <m/>
    <s v="N/A"/>
    <n v="6"/>
  </r>
  <r>
    <s v="MP-00015"/>
    <d v="2025-06-10T00:00:00"/>
    <m/>
    <s v="Isabel"/>
    <x v="1"/>
    <s v="Proyecto"/>
    <x v="0"/>
    <s v="BLOQUE 2 – NAV 2024"/>
    <s v="Cierre y ajustes en Navisión"/>
    <m/>
    <m/>
    <s v="Alta"/>
    <s v="10/06/2025 Abrimos esta incidencia para hacer seguimiento del cierre de navisión"/>
    <m/>
    <s v="M.A"/>
    <x v="2"/>
    <d v="2025-06-30T00:00:00"/>
    <d v="2025-07-07T00:00:00"/>
    <d v="2025-07-07T00:00:00"/>
    <m/>
    <s v="ES"/>
    <m/>
    <m/>
    <m/>
    <m/>
    <m/>
    <s v="Medio"/>
    <n v="0.5"/>
  </r>
  <r>
    <s v="MP-0002"/>
    <d v="2025-04-28T00:00:00"/>
    <s v="Ana"/>
    <s v="Isabel"/>
    <x v="0"/>
    <s v="Evolutivo"/>
    <x v="1"/>
    <s v="BLOQUE 3 – Correcciones y ajustes 2025"/>
    <s v="Contabilización de costes indirectos en las compras de importación, flete, arancelario etc"/>
    <s v="进口采购单，海运费，关税，等的成本分摊记账"/>
    <m/>
    <s v="Alta"/>
    <s v="08/05/2025 Revisión de las condiciones de venrtas que condicionan los impuestos al precio del producto. Es necesario involucrar recursos de ventas./_x000a_28/05/2025 El 27 de mayo se confirma introducir a un recurso de ventas que tiene que verificar y replanificar según la carga de trabajo y prioridad que de MP."/>
    <s v="S4/hana"/>
    <s v="M.A"/>
    <x v="1"/>
    <d v="2025-06-30T00:00:00"/>
    <d v="2025-07-02T00:00:00"/>
    <d v="2025-07-09T00:00:00"/>
    <m/>
    <s v="ES"/>
    <m/>
    <m/>
    <s v="No"/>
    <s v="Proceso"/>
    <m/>
    <s v="N/A"/>
    <n v="1.5"/>
  </r>
  <r>
    <s v="MP-0003"/>
    <d v="2025-04-28T00:00:00"/>
    <s v="Junting"/>
    <s v="Isabel"/>
    <x v="0"/>
    <s v="Evolutivo"/>
    <x v="0"/>
    <s v="BLOQUE 5 – Soporte a operativa diaria SAP"/>
    <s v="Meridiano Palaciano no tiene IVA repercutido 23% Soportado"/>
    <s v="葡萄牙没有销项增值税IVA 23%，无法入账"/>
    <m/>
    <s v="Alta"/>
    <s v="07/05/2025 Verificar si existe el II en portugal. Entregado._x000a_12/05/2025 Verificar el Soportado de Portugal son facturas de proveedor. Validar proceso con Li._x000a_ 3k en el entorno de desarrollo .Revisar customizing y probarlo Customizong._x000a_14/05/2025 Se ha mandado un email revisando la parametrización y las cuentas._x000a_20/05/2025 se elimina la primera fecha de entrga 12/05/2025_x000a_21/05/2025 Se ha recordado y enviar recordatorio._x000a_26/05/2025 gestionar con la parte de contabilidad el II de Portugal/Se pasa a Test durante el día de hoy_x000a_28/05/2025 Se recuerda dos veces_x000a_02/06/2025 Se recuera para validar_x000a_04/06/2026 Se apunta para gestionar con MP el 05/06"/>
    <s v="S4/hana"/>
    <s v="AHY"/>
    <x v="0"/>
    <d v="2025-05-29T00:00:00"/>
    <d v="2025-06-02T00:00:00"/>
    <d v="2025-06-02T00:00:00"/>
    <s v="Altim reviso y contesto en tiempo para que MP realizara la prueba"/>
    <s v="PT"/>
    <d v="2025-05-29T00:00:00"/>
    <s v="Revision por parte de MP"/>
    <s v="No"/>
    <s v="Proceso"/>
    <m/>
    <s v="Medio"/>
    <n v="10.5"/>
  </r>
  <r>
    <s v="MP-0004"/>
    <d v="2025-04-28T00:00:00"/>
    <s v="Ana"/>
    <s v="Felipe"/>
    <x v="0"/>
    <s v="Evolutivo"/>
    <x v="0"/>
    <s v="BLOQUE 5 – Soporte a operativa diaria SAP"/>
    <s v="CUENTA 5201100002. Configuración de póliza de crédito de los bancos. "/>
    <s v="银行信用借款记账设置"/>
    <m/>
    <s v="Alta"/>
    <s v="07/05/2025 Necesidad de crear un banco propio con esta cuenta._x000a_12/05/2025 Es necesario recibir un extracto bancario , se esta verificando como esta parametrizado._x000a_14/05/2025 En la cuenta 5201100004 de BANCAMARCH POLIZA DE CREDITO vemos que aparece reflejado un saldo, porque subimos un fichero de la norma 43 pero no lo lleva a las cuentas transitorias, no aparecen esos movimientos por ningún lado. 5201160004 y 5201160005_x000a_20/05/2025 se elimina la primera fecha de entrga 13/05/2025_x000a_20/05/2025 Recibimos el fichero/Pendiente de usuario que pruebe_x000a_29/05/2025 se le va  requerir mas información_x000a_30/05/2025 Se hace una call para aclarar_x000a_02/06/2025 Se retrasa por priorización otros temas_x000a_03/06/2025 Se reuiere crearla para que se puedan gestionar partidas abiertas._x000a_04/06&amp;2025 Revision de proceso"/>
    <s v="S4/hana"/>
    <s v="AHY"/>
    <x v="3"/>
    <d v="2025-06-10T00:00:00"/>
    <d v="2025-06-17T00:00:00"/>
    <d v="2025-06-16T00:00:00"/>
    <s v="Se recibe el fichero 20/05"/>
    <s v="ES"/>
    <d v="2025-06-10T00:00:00"/>
    <s v="Sin retraso"/>
    <s v="No"/>
    <s v="Proceso"/>
    <m/>
    <s v="N/A"/>
    <n v="24"/>
  </r>
  <r>
    <s v="MP-0005"/>
    <d v="2025-04-28T00:00:00"/>
    <s v="Susana, Ana"/>
    <s v="Isabel"/>
    <x v="0"/>
    <s v="Petición"/>
    <x v="0"/>
    <s v="BLOQUE 5 – Soporte a operativa diaria SAP"/>
    <s v="Configuración de cuenta contable"/>
    <s v="会计科目设置_x000a_例如：_x000a_- 现金入账强制记税_x000a_- 非进口类采购发票记账错误_x000a_- 外协加工发票，在模拟会计分录时，系统将差额记入‘进口关税费用’科目，而实际上这是一个国内供应商。或海运费的科目。"/>
    <s v="Obligatorio impuesto en apuntes de caja"/>
    <s v="Alta"/>
    <s v="Se solicita modificar y bloquear las cuentas 708* por estar repetidas_x000a_10/06/2025 se dice la forma a realizar"/>
    <s v="S4/hana"/>
    <s v="M.A"/>
    <x v="0"/>
    <d v="2025-06-13T00:00:00"/>
    <d v="2025-06-20T00:00:00"/>
    <d v="2025-06-20T00:00:00"/>
    <s v="Se entrega el 10/06 y el 13/06 el usuario comunica que se cierre"/>
    <s v="ES"/>
    <d v="2025-05-13T00:00:00"/>
    <s v="Sin retraso"/>
    <s v="No"/>
    <s v="Proceso"/>
    <m/>
    <s v="N/A"/>
    <n v="9.5"/>
  </r>
  <r>
    <s v="MP-0006"/>
    <d v="2025-04-28T00:00:00"/>
    <s v="Junting Fan"/>
    <s v="Isabel"/>
    <x v="0"/>
    <s v="Incidencia"/>
    <x v="0"/>
    <s v="BLOQUE 5 – Soporte a operativa diaria SAP"/>
    <s v="Errores en el proceso de cobro por pagaré"/>
    <s v="支票收款流程的设计和配置"/>
    <m/>
    <s v="Alta"/>
    <s v="08/05/2025 Verificar que errores se da cuando se realiza el cobro, verificar la via de pago._x000a_21/05/2025 Se solicita informacion/Verificado el proceso para replicarlo en SAP_x000a_28/05/2025 Se verifica que el proceso es correcto pero se realizan varios pasos de mas."/>
    <s v="S4/hana"/>
    <s v="AHY"/>
    <x v="0"/>
    <d v="2025-05-31T00:00:00"/>
    <d v="2025-06-07T00:00:00"/>
    <d v="2025-06-02T00:00:00"/>
    <m/>
    <s v="ES"/>
    <d v="2025-05-31T00:00:00"/>
    <s v="Sin retraso"/>
    <s v="No"/>
    <s v="Proceso"/>
    <m/>
    <s v="N/A"/>
    <n v="19"/>
  </r>
  <r>
    <s v="MP-00061"/>
    <d v="2025-04-28T00:00:00"/>
    <s v="Junting Fan"/>
    <s v="Isabel"/>
    <x v="0"/>
    <s v="Incidencia"/>
    <x v="0"/>
    <s v="BLOQUE 5 – Soporte a operativa diaria SAP"/>
    <s v="Se intenta buscar una vía para que se pueda automatizar el proceso- Configuracion y pruebas"/>
    <s v="支票收款流程的设计和配置"/>
    <m/>
    <s v="Alta"/>
    <s v="08/05/2025 Verificar que errores se da cuando se realiza el pago, verificar la via de pago._x000a_21/05/2025 Se solicita informacion/_x000a_Reduccion de pasos_x000a_"/>
    <s v="S4/hana"/>
    <s v="AHY"/>
    <x v="0"/>
    <d v="2025-05-31T00:00:00"/>
    <d v="2025-06-07T00:00:00"/>
    <d v="2025-06-02T00:00:00"/>
    <m/>
    <s v="ES"/>
    <d v="2025-05-31T00:00:00"/>
    <s v="Sin retraso"/>
    <s v="No"/>
    <s v="Proceso"/>
    <m/>
    <s v="N/A"/>
    <n v="3.5"/>
  </r>
  <r>
    <s v="MP-00062"/>
    <d v="2025-04-28T00:00:00"/>
    <s v="Junting Fan"/>
    <s v="Isabel"/>
    <x v="1"/>
    <s v="Petición"/>
    <x v="0"/>
    <s v="BLOQUE 5 – Soporte a operativa diaria SAP"/>
    <s v="Se intenta buscar una vía para que se pueda automatizar el proceso- Formacion y Manual"/>
    <s v="支票收款流程的设计和配置"/>
    <m/>
    <s v="Alta"/>
    <s v="28/05/2025 Se busca una vía ara automatizar el proceso de Pagare y la compensación._x000a_30/05/2025 Se manada proceso para agilizar la compensacion y eliminación de efectos._x000a_03/06/2025 Se recuerda otra vez_x000a_06/06/2025 Se cierra la anteriro y se va a buscar la viabilidad de agilizar el proceso por la F110_x000a_MANUAL"/>
    <m/>
    <s v="AHY"/>
    <x v="0"/>
    <d v="2025-05-30T00:00:00"/>
    <d v="2025-06-06T00:00:00"/>
    <d v="2025-06-02T00:00:00"/>
    <m/>
    <s v="ES"/>
    <d v="2025-06-06T00:00:00"/>
    <s v="Sin retraso"/>
    <m/>
    <m/>
    <m/>
    <s v="Bajo"/>
    <n v="16"/>
  </r>
  <r>
    <s v="MP-00063"/>
    <d v="2025-04-28T00:00:00"/>
    <s v="Junting Fan"/>
    <s v="Isabel"/>
    <x v="1"/>
    <s v="Petición"/>
    <x v="0"/>
    <s v="BLOQUE 5 – Soporte a operativa diaria SAP"/>
    <s v="Se intenta buscar una vía para que se pueda automatizar el proceso- Formacion y Manual -Clientes _x000a_Verificación de proceso mediante Programa automatico de pago"/>
    <s v="支票收款流程的设计和配置"/>
    <m/>
    <s v="Alta"/>
    <s v="06/05/2025 Verificación de proceso mediante Programa automatico de pago_x000a_11/06/2025 Revisarlo y mandar un email porque no se puede reducir mas_x000a_24/06/2025 Se ha vuelto a explicar como hacerlo _x000a_Proceso explicado, IBAN transportado el martes"/>
    <m/>
    <s v="AHY"/>
    <x v="0"/>
    <d v="2025-06-30T00:00:00"/>
    <d v="2025-07-07T00:00:00"/>
    <d v="2025-06-02T00:00:00"/>
    <m/>
    <s v="ES"/>
    <d v="2025-06-30T00:00:00"/>
    <m/>
    <m/>
    <m/>
    <m/>
    <s v="N/A"/>
    <n v="9.5"/>
  </r>
  <r>
    <s v="MP-0007"/>
    <d v="2025-04-28T00:00:00"/>
    <s v="Susana"/>
    <s v="Isabel"/>
    <x v="0"/>
    <s v="Evolutivo"/>
    <x v="0"/>
    <s v="BLOQUE 5 – Soporte a operativa diaria SAP"/>
    <s v="Error listado/libro facturas emitidas y recibidas. NIF"/>
    <s v="错误清单/已开发票和收到发票的发票簿"/>
    <m/>
    <s v="Alta"/>
    <s v="07/05/2025 Verificando el listado y solicitada información. Altim va a ejecutat la app y verificar que es lo que extrae._x000a_12/05/2025 Altim va a generar un fichero y ejecutar la app para enviar a MP y que se identifique el error. Recibido un manual para ejecutar la app_x000a_14/05/2025 Recibimos los requerimientos_x000a_1- Manual que en su día Aser nos dio para poder sacar los libros de facturas _x000a_2- Formato oficial para el libro en soporte informático._x000a_3- Ejemplo de libro de facturas expedidas en sap de diciembre._x000a_Se realiza el layout y se manda al usuario que identifica unos cambios ._x000a_Se ha filtrado y se ha extraido los documentos financieros con II NT_x000a_14/05/2025 Susana solicita verificar lo respondido por el consultor._x000a_16/05/2025 El usuario no encuentra la variante, verificando si se ha definido como usuario y mandado la manera de verlo._x000a_20/05/2025 A la espera de solucionar lo del flag, ya se ha solucionado./Se realiza Layout y se indica como ejecutarlo_x000a_29/05/2025 Relacion MP-0097 Recordar que Marta un email_x000a_03/06/2025 No se rquiere por extraer un informe en particular sino a modo de consulta_x000a_Se envia la forma de extrar el informe"/>
    <s v="S4/hana"/>
    <s v="AHY"/>
    <x v="0"/>
    <d v="2025-05-26T00:00:00"/>
    <d v="2025-06-02T00:00:00"/>
    <d v="2025-06-02T00:00:00"/>
    <m/>
    <s v="ES"/>
    <d v="2025-05-26T00:00:00"/>
    <s v="Sin retraso"/>
    <s v="No"/>
    <s v="Proceso"/>
    <m/>
    <s v="Bajo"/>
    <n v="13"/>
  </r>
  <r>
    <s v="MP-00071"/>
    <d v="2025-05-14T00:00:00"/>
    <s v="Susana"/>
    <s v="Isabel"/>
    <x v="0"/>
    <s v="Evolutivo"/>
    <x v="0"/>
    <s v="BLOQUE 5 – Soporte a operativa diaria SAP"/>
    <s v="Extraccion documentos con II NT"/>
    <m/>
    <m/>
    <s v="Alta"/>
    <s v="14/05/2025 Por necesidad del informe de facturas recibidas se pide el indicador NT que es incorrecto para analizar la información/Coonfirmado cierre la semana pasada"/>
    <s v="S4/hana"/>
    <s v="MPP"/>
    <x v="0"/>
    <d v="2025-05-19T00:00:00"/>
    <d v="2025-05-26T00:00:00"/>
    <d v="2025-05-26T00:00:00"/>
    <m/>
    <s v="ES"/>
    <d v="2025-05-19T00:00:00"/>
    <s v="Sin retraso"/>
    <m/>
    <m/>
    <m/>
    <s v="N/A"/>
    <n v="6.5"/>
  </r>
  <r>
    <s v="MP-00072"/>
    <d v="2025-05-21T00:00:00"/>
    <s v="Susana"/>
    <s v="Isabel"/>
    <x v="0"/>
    <s v="Evolutivo"/>
    <x v="0"/>
    <s v="BLOQUE 2 – NAV 2024"/>
    <s v="Buscar informe que contenga la información de los NIF.Parad, libro de facturas emitidas y recibidas"/>
    <m/>
    <m/>
    <s v="Sin prioridad"/>
    <s v="21/05/2025 Se abre incidencia_x000a_26/05/2025 Se manda el fichero con el listado de terceros y su NIF/Se manda un fichero con terceros para analizar por parte MP._x000a_06/05/2025 se busca la viabilidad de ejecutar un fichero que contenga dicha información, NIF5 , BI, _x000a_11/06/2025 se tiene que hacer en la declaración , voy a revisarlo, se entregan las consultas realizadas, las operaciones nacionales tienen que tener informado los NIG ES01 y comunitario si procede. En los terceros internacionales no se puede sacar el NIF"/>
    <s v="S4/hana"/>
    <s v="AHY"/>
    <x v="1"/>
    <m/>
    <m/>
    <m/>
    <m/>
    <s v="ES"/>
    <m/>
    <m/>
    <m/>
    <m/>
    <m/>
    <s v="N/A"/>
    <n v="0"/>
  </r>
  <r>
    <s v="MP-0008"/>
    <d v="2025-04-28T00:00:00"/>
    <s v="Susana"/>
    <s v="Isabel"/>
    <x v="0"/>
    <s v="Consulta"/>
    <x v="0"/>
    <s v="BLOQUE 5 – Soporte a operativa diaria SAP"/>
    <s v="Problemas sacar informe financieros oficiales "/>
    <s v="官方财务报表生成错误"/>
    <m/>
    <s v="Alta"/>
    <s v="08/05/2025 Pedir que informes oficiales se trata._x000a_14/05/2025 se solicita información_x000a_20/05/2025 Se contesta como bajarse el fichero/Se ha indicado como bajarse el fichero"/>
    <s v="S4/hana"/>
    <s v="MPP"/>
    <x v="0"/>
    <d v="2025-06-02T00:00:00"/>
    <d v="2025-06-09T00:00:00"/>
    <d v="2025-06-09T00:00:00"/>
    <m/>
    <s v="ES"/>
    <d v="2025-06-02T00:00:00"/>
    <s v="Sin retraso"/>
    <s v="No"/>
    <s v="Proceso"/>
    <m/>
    <s v="N/A"/>
    <n v="11.5"/>
  </r>
  <r>
    <s v="MP-00081"/>
    <d v="2025-05-29T00:00:00"/>
    <s v="Susana"/>
    <s v="Isabel"/>
    <x v="1"/>
    <s v="Consulta"/>
    <x v="0"/>
    <s v="BLOQUE 5 – Soporte a operativa diaria SAP"/>
    <s v="Realizar manual para el aging de clientes. No tiene acceso email a Jorge y comentandole a Lu lo de los permisos."/>
    <m/>
    <m/>
    <s v="Alta"/>
    <s v="04/06/2025 Se pone en proceso para confirmar requerimientos  Se adjunta manual de aging._x000a_06/06/2025 Verificar la viabilidad de poner un rol para que pueda visualizar."/>
    <m/>
    <s v="AHY"/>
    <x v="0"/>
    <d v="2025-06-30T00:00:00"/>
    <d v="2025-07-07T00:00:00"/>
    <d v="2025-06-09T00:00:00"/>
    <m/>
    <s v="ES"/>
    <d v="2025-06-30T00:00:00"/>
    <m/>
    <m/>
    <m/>
    <m/>
    <s v="N/A"/>
    <n v="2"/>
  </r>
  <r>
    <s v="MP-0009"/>
    <d v="2025-04-28T00:00:00"/>
    <s v="Luna"/>
    <s v="Felipe"/>
    <x v="0"/>
    <s v="Incidencia"/>
    <x v="0"/>
    <s v="BLOQUE 5 – Soporte a operativa diaria SAP"/>
    <s v="Problemas en facturaciones por errores en los datos maestros de interlocutores."/>
    <s v="由于合作伙伴 （客户和供应商）主数据错误导致的发票问题"/>
    <m/>
    <s v="Media"/>
    <s v="08/05/2025 Solictar que BP dan dichos errores_x000a_13/05/2025 Se solicita información de los datos Maestros_x000a_20/05/2025 Se solicita información y se baja a media la prioridad al no haberse contestado en una semana/Coonfirmado cierre la semana pasada"/>
    <s v="S4/hana"/>
    <s v="MPP"/>
    <x v="0"/>
    <d v="2025-06-02T00:00:00"/>
    <d v="2025-06-09T00:00:00"/>
    <d v="2025-06-09T00:00:00"/>
    <m/>
    <s v="ES"/>
    <d v="2025-05-21T00:00:00"/>
    <s v="Sin retraso"/>
    <s v="No"/>
    <s v="Proceso"/>
    <m/>
    <s v="N/A"/>
    <n v="8"/>
  </r>
  <r>
    <s v="MP-0010"/>
    <d v="2025-04-28T00:00:00"/>
    <s v="Junting Fan"/>
    <s v="Isabel"/>
    <x v="0"/>
    <s v="Evolutivo"/>
    <x v="2"/>
    <s v="BLOQUE 6 – SGA"/>
    <s v="Con el intercompany actual, Meridiano Palaciano no tiene su proceso de devolución. No hay abono ni factura rectificativa de Portugal."/>
    <s v="葡萄牙公司没有退货流程，也无法开出退单发票"/>
    <m/>
    <s v="Alta"/>
    <s v="05/05/2025 MA:_x000a_Rango de números idénticos para ambos paises - 45._x000a_Por necesidad de casuística existe la necesidad de modificar los rangos de numeros de estas operaciones._x000a_En portugal no se ha podido registrar una factura rectificativa._x000a_Analizar de todos los errores de cada material, analizar los errores que ha habido._x000a_No se esta usando SAFT._x000a_-MP tiene que confirmar si tienen que declarar los albaranes en Portugal - Guía de transporte para los movimientos de mercancias, origen , destino y fecha y hora de carga._x000a_Altim esta verificando los errores que se generan en el sistema._x000a_06/05/2025 MA_x000a_Se manda el análisis de los erroes:_x000a_- Operativa_x000a_- Formación_x000a_- Parametrización_x000a_08/05/2025 Procedimiento usado no es de intercompany, confirmar con MP la posibidad de eliminar errores en el proceso que estan realizando actualmente que corregiria errores en procesos realizados en españa para despues abarcar e implementar el porceso intercompany standard que ofrece SAP._x000a_12/05/2025 Actualmente se realiza el proceso manual y no permite devoluciones, errores a la hora de asignación de cuentas._x000a_                      MP incide en corregir el proceso actual y una vez este funcionando , abordar el proceso automáticamente mas adelante pero en principio se requiere estabilizar el proceso manual._x000a_                      Se propone realizar una formación ya que el usuario no tiene conocimmiento de que esta haciendo. Realizar una agenda para sesiones de media hora para formar a los usuarios, no sólo para aplicar a los      usuarios en eeste proceso, Altim lo prepara para enviarlo esta semana.Revisar email de expositores._x000a_Revisar (VKOA y OBYC) parametrización para verificar la determinación de cuentas y verificar que las cuentas contables son correctas._x000a_13/05/2025 Se envia las minutes meeting._x000a_19/05/2025 El proceso ya se realiza correctamente, se enviará el manual a lo largo del día de hoy para ayudar al usuario._x000a_20/05/2025 se elimina la primera fecha de entrga 19/05/2025_x000a_/No hay recurso de SD para realizar el proceso completo con Leandro_x000a_03/06/2025 A la espera de las pruebas._x000a_06/06/2025 se evidencia que funciona_x000a_19/06/2025 el lunes se envía manual de como realizar devoluciones con factura en SAP y en Navisión._x000a_23/06/2025 se habre 2 incidencias nuevas. Una para automaticar la localización de la factyura en SAP. Otra para automatizar las facturas en Navisión."/>
    <s v="S4/hana"/>
    <s v="LCC"/>
    <x v="4"/>
    <d v="2025-06-02T00:00:00"/>
    <d v="2025-06-09T00:00:00"/>
    <d v="2025-06-09T00:00:00"/>
    <s v="No hay recurso de SD para realizar el proceso completo con Leandro"/>
    <s v="PT"/>
    <m/>
    <s v="Falta Recurso del Área"/>
    <s v="No"/>
    <s v="Proceso"/>
    <n v="1"/>
    <s v="Bajo"/>
    <n v="137.5"/>
  </r>
  <r>
    <s v="MP-00101"/>
    <d v="2025-05-13T00:00:00"/>
    <m/>
    <s v="Isabel"/>
    <x v="1"/>
    <s v="Evolutivo"/>
    <x v="0"/>
    <s v="BLOQUE 5 – Soporte a operativa diaria SAP"/>
    <s v="Auditar la determianción de cuentas de aprovisionamiento"/>
    <m/>
    <m/>
    <s v="Alta"/>
    <s v="13/05/2025 se realiza una reunión para verificar la parametrizacion de las operaciones automáticas de compras._x000a_19/05/2025 Se envia el acta a lo largo del día de hoy con lo mas relevante del workshop del martes._x000a_/Verificando y modificando configuración_x000a_30/05/2025 incidencias identificadas en otros apartados, se hizo una primera reunión para revisar a modo general pero se estan abriendo procesos a modo general_x000a_29/05/2025 Revisar se va modificando con otras inidencias"/>
    <s v="S4/hana"/>
    <s v="M.A"/>
    <x v="0"/>
    <d v="2025-06-02T00:00:00"/>
    <d v="2025-06-09T00:00:00"/>
    <d v="2025-06-09T00:00:00"/>
    <m/>
    <s v="ES"/>
    <d v="2025-06-02T00:00:00"/>
    <m/>
    <m/>
    <m/>
    <m/>
    <s v="Medio"/>
    <n v="9.5"/>
  </r>
  <r>
    <s v="MP-00102"/>
    <s v="23/06/2025"/>
    <m/>
    <s v="Lu WANG"/>
    <x v="1"/>
    <s v="Incidencia"/>
    <x v="1"/>
    <s v="BLOQUE 5 – Soporte a operativa diaria SAP"/>
    <s v="MP-0010 - automatización de coger referencia de factura en SAP durante las devoluciones de Portugal"/>
    <m/>
    <m/>
    <s v="Alta"/>
    <s v="25/06/2025 - se prepara un análisis para aprobación de un desarrollo en BTP"/>
    <m/>
    <s v="LCC"/>
    <x v="5"/>
    <s v="27/06/2025"/>
    <s v="01/07/2025"/>
    <s v="01/07/2025"/>
    <s v="Se empieza el análisis el día 25/06/2025"/>
    <m/>
    <m/>
    <m/>
    <m/>
    <m/>
    <m/>
    <m/>
    <n v="8.5"/>
  </r>
  <r>
    <s v="MP-00104"/>
    <d v="2025-05-30T00:00:00"/>
    <m/>
    <s v="Lu WANG"/>
    <x v="1"/>
    <s v="Incidencia"/>
    <x v="3"/>
    <s v="BLOQUE 5 – Soporte a operativa diaria SAP"/>
    <s v="MP-0010: Manual para recordar poner el campo referencia en el proceso de devoluciones en Portugal"/>
    <m/>
    <m/>
    <s v="Media"/>
    <m/>
    <m/>
    <s v="LCC"/>
    <x v="0"/>
    <d v="2025-06-30T00:00:00"/>
    <d v="2025-06-30T00:00:00"/>
    <d v="2025-06-30T00:00:00"/>
    <m/>
    <s v="PT"/>
    <d v="2025-06-30T00:00:00"/>
    <m/>
    <m/>
    <m/>
    <m/>
    <s v="N/A"/>
    <n v="0"/>
  </r>
  <r>
    <s v="MP-00105"/>
    <d v="2025-05-30T00:00:00"/>
    <m/>
    <s v="Lu WANG"/>
    <x v="1"/>
    <s v="Incidencia"/>
    <x v="3"/>
    <s v="BLOQUE 5 – Soporte a operativa diaria SAP"/>
    <s v="MP-0010: En el fichero para el gestor de la factura y nota de crédito de Portugal sale mal (en el nº envia clase de factura (F2, L2) en vez de el segmento)."/>
    <m/>
    <m/>
    <s v="Media"/>
    <s v="Hay que revisar la configuración de los intervalos de números para Portugal"/>
    <m/>
    <s v="LCC"/>
    <x v="6"/>
    <m/>
    <m/>
    <m/>
    <m/>
    <s v="PT"/>
    <m/>
    <m/>
    <m/>
    <m/>
    <m/>
    <s v="N/A"/>
    <n v="0"/>
  </r>
  <r>
    <s v="MP-00106"/>
    <d v="2025-05-30T00:00:00"/>
    <m/>
    <s v="Lu WANG"/>
    <x v="1"/>
    <s v="Incidencia"/>
    <x v="3"/>
    <s v="BLOQUE 5 – Soporte a operativa diaria SAP"/>
    <s v="MP-0010: En elformulario de la factura y nota de crédito de Portugal sale mal (en el nº envia clase de factura (F2, L2) en vez de el segmento)."/>
    <m/>
    <m/>
    <s v="Media"/>
    <s v="Hay que revisar la configuración de los intervalos de números para Portugal"/>
    <m/>
    <s v="LCC"/>
    <x v="6"/>
    <m/>
    <m/>
    <m/>
    <m/>
    <s v="PT"/>
    <m/>
    <m/>
    <m/>
    <m/>
    <m/>
    <s v="N/A"/>
    <n v="0"/>
  </r>
  <r>
    <s v="MP-0011"/>
    <d v="2025-04-28T00:00:00"/>
    <s v="Tao"/>
    <s v="Felipe"/>
    <x v="0"/>
    <s v="Evolutivo"/>
    <x v="3"/>
    <s v="BLOQUE 5 – Soporte a operativa diaria SAP"/>
    <s v="No se puede utilizar bono/voucher/vale"/>
    <s v="无法使用代金券"/>
    <m/>
    <s v="Baja"/>
    <s v="08/05/2025 Nueva configuración de un descuento en ventas/"/>
    <s v="S4/hana"/>
    <s v="RMB"/>
    <x v="1"/>
    <d v="2025-06-30T00:00:00"/>
    <d v="2025-07-07T00:00:00"/>
    <d v="2025-06-09T00:00:00"/>
    <m/>
    <s v="ES"/>
    <m/>
    <m/>
    <s v="No"/>
    <s v="Proceso"/>
    <m/>
    <s v="N/A"/>
    <n v="16"/>
  </r>
  <r>
    <s v="MP-0012"/>
    <d v="2025-04-28T00:00:00"/>
    <s v="Luna, Susana "/>
    <s v="Isabel "/>
    <x v="0"/>
    <s v="Evolutivo"/>
    <x v="1"/>
    <s v="BLOQUE 5 – Soporte a operativa diaria SAP"/>
    <s v="Factura de venta/ Factura rectificativa/Nota de crédito_x000a_- Formato de las facturas_x000a_- Contenido comercial _x000a_- Configuración fiscal _x000a_Formulario de venttas"/>
    <s v="发票和退单发票相关的所有问题_x000a_- 发票格式_x000a_- 发票内容_x000a_- 税务相关设置_x000a__x000a_例如：_x000a_- 更正发票不参考原始发票，并且被错误地上传税局。不显示为什么开具更正发票。_x000a_- 退单凭证里面的附加税错误。_x000a_- 我们有的客户不成正退单凭证，坚持要求退单发票。_x000a_- 目前，差价退单是直接通过 FB70 进行开具的。没有可供查看或下载的订阅 PDF。"/>
    <s v="Por ejemplo:_x000a_- Las factura rectificativa no recoge la factura de de venta original, no aparece por qué se emite la factura rectificativa y se está comunicando de manera errónea a la AEAT. (CARGA DEL FICHERO DE TIPOS DE  EDOCUMENTS Y SU PARAMETRIZACIÓN  EN CARPETA) _x000a_- Errores con recargos de equivalencia en las ¨Nota de crédito¨_x000a_- Tenemos clientes que no reconoce ¨nota de crédito¨._x000a_- Ahora mismo se está haciendo abonos por diferencia de precio directamente por FB70. No hay un pdf de abono para visualizar o descargar_x000a_-  Nota de crédito, en Marzo, recargo equivalencia en vez de 5.2%, eran 0.5%.."/>
    <s v="Alta"/>
    <s v="29/04/2025 MA: Esperando usuario para entorno de configuración._x000a_Pedir el manual de como hacerlo y que objetivo se tenia._x000a_06/05/2025 MA: Realizando Diseño funcional de la factura_x000a_Se ha realivisado la configuración del SII y enviado a MP._x000a_07/05/2025 Extraccion de la información de la creación del Edocument para el SII._x000a_08/05/2025 Se esta realizando la valoración técnica, diseño funcional ha sido confirmado y realizado. _x000a_12/05/205  Se ha realizado el DF para todas las casuisticas y a la espera de la valoración de la parte técnica para confirmar fecha de entrega._x000a_14/05/2025 Se estima tecnicamente mas las pruebas en 13 jornadas_x000a_26/05/2025 Se genera un retraso porque no hay consultor de ventas_x000a_                       El formulario esta muy desarrollado y tocado por varios usuarios_x000a__x000a_/Resolución mas lenta la no tener un consultor de SD para apoyar a Leandro_x000a_28/05/2025 Se revisa con MP y prte abap se hace una recopilacion del status y se confirman detalle, se recibe la clausula de protección de datos_x000a_13/06/2025 lleva pente deMP 2 semanas_x000a_16/06/2025 MP confirma que podemos subirlo a producción."/>
    <s v="S4/hana"/>
    <s v="M.A"/>
    <x v="0"/>
    <d v="2025-06-10T00:00:00"/>
    <d v="2025-06-16T00:00:00"/>
    <d v="2025-06-16T00:00:00"/>
    <m/>
    <s v="ES"/>
    <d v="2025-06-18T00:00:00"/>
    <s v="Revision por parte de MP"/>
    <s v="No"/>
    <s v="Proceso"/>
    <n v="4"/>
    <s v="Bajo"/>
    <n v="109.5"/>
  </r>
  <r>
    <s v="MP-00121"/>
    <d v="2025-06-10T00:00:00"/>
    <m/>
    <s v="Liu Yalu"/>
    <x v="1"/>
    <s v="Evolutivo"/>
    <x v="3"/>
    <s v="BLOQUE 5 – Soporte a operativa diaria SAP"/>
    <s v="Factura de venta/ Factura rectificativa/Nota de crédito_x000a_- Formato de las facturas_x000a_- Contenido comercial _x000a_- Configuración fiscal _x000a_Formulario de venttas"/>
    <s v="发票和退单发票相关的所有问题_x000a_- 发票格式_x000a_- 发票内容_x000a_- 税务相关设置_x000a__x000a_例如：_x000a_- 更正发票不参考原始发票，并且被错误地上传税局。不显示为什么开具更正发票。_x000a_- 退单凭证里面的附加税错误。_x000a_- 我们有的客户不成正退单凭证，坚持要求退单发票。_x000a_- 目前，差价退单是直接通过 FB70 进行开具的。没有可供查看或下载的订阅 PDF。"/>
    <s v="Por ejemplo:_x000a_- Las factura rectificativa no recoge la factura de de venta original, no aparece por qué se emite la factura rectificativa y se está comunicando de manera errónea a la AEAT. (CARGA DEL FICHERO DE TIPOS DE  EDOCUMENTS Y SU PARAMETRIZACIÓN  EN CARPETA) _x000a_- Errores con recargos de equivalencia en las ¨Nota de crédito¨_x000a_- Tenemos clientes que no reconoce ¨nota de crédito¨._x000a_- Ahora mismo se está haciendo abonos por diferencia de precio directamente por FB70. No hay un pdf de abono para visualizar o descargar_x000a_-  Nota de crédito, en Marzo, recargo equivalencia en vez de 5.2%, eran 0.5%.."/>
    <s v="Baja"/>
    <s v="10/06/2025 se abre el requerimiento para agrupar los boucher"/>
    <m/>
    <s v="RMB"/>
    <x v="1"/>
    <d v="2025-06-30T00:00:00"/>
    <d v="2025-07-07T00:00:00"/>
    <d v="2025-06-23T00:00:00"/>
    <m/>
    <s v="ES"/>
    <m/>
    <m/>
    <m/>
    <m/>
    <m/>
    <s v="N/A"/>
    <n v="2"/>
  </r>
  <r>
    <s v="MP-00122"/>
    <d v="2025-06-04T00:00:00"/>
    <m/>
    <s v="Isabel"/>
    <x v="1"/>
    <s v="Evolutivo"/>
    <x v="1"/>
    <s v="BLOQUE 5 – Soporte a operativa diaria SAP"/>
    <s v="Se extraen los tercero para ver el codigo de ramo 1"/>
    <m/>
    <m/>
    <s v="Alta"/>
    <s v="04/06/2025 Se abre esta incidencia para evolucionar el sistema y ver que no pase mas_x000a_11/06/2025"/>
    <m/>
    <s v="LJS"/>
    <x v="0"/>
    <d v="2025-06-17T00:00:00"/>
    <d v="2025-06-23T00:00:00"/>
    <d v="2025-06-16T00:00:00"/>
    <m/>
    <s v="ES"/>
    <m/>
    <s v="Sin retraso"/>
    <m/>
    <m/>
    <m/>
    <s v="Medio"/>
    <n v="5"/>
  </r>
  <r>
    <s v="MP-00123"/>
    <d v="2025-06-04T00:00:00"/>
    <m/>
    <s v="Isabel"/>
    <x v="1"/>
    <s v="Evolutivo"/>
    <x v="1"/>
    <s v="BLOQUE 5 – Soporte a operativa diaria SAP"/>
    <s v="Se verifican que clientes que código de ramo son"/>
    <m/>
    <m/>
    <s v="Alta"/>
    <s v="04/06/2025 Se abre esta incidencia para evolucionar el sistema y ver que no pase mas"/>
    <m/>
    <s v="M.A"/>
    <x v="0"/>
    <d v="2025-09-09T00:00:00"/>
    <d v="2025-09-16T00:00:00"/>
    <d v="2025-06-09T00:00:00"/>
    <m/>
    <s v="ES"/>
    <m/>
    <m/>
    <m/>
    <m/>
    <m/>
    <s v="N/A"/>
    <n v="0.5"/>
  </r>
  <r>
    <s v="MP-00124"/>
    <d v="2025-06-04T00:00:00"/>
    <m/>
    <s v="Isabel"/>
    <x v="1"/>
    <s v="Evolutivo"/>
    <x v="1"/>
    <s v="BLOQUE 5 – Soporte a operativa diaria SAP"/>
    <s v="Se actualiza masivamente"/>
    <m/>
    <m/>
    <s v="Alta"/>
    <s v="04/06/2025 Se abre esta incidencia para evolucionar el sistema y ver que no pase mas"/>
    <m/>
    <s v="M.A"/>
    <x v="3"/>
    <d v="2025-09-09T00:00:00"/>
    <d v="2025-09-16T00:00:00"/>
    <d v="2025-06-09T00:00:00"/>
    <m/>
    <s v="ES"/>
    <m/>
    <m/>
    <m/>
    <m/>
    <m/>
    <s v="N/A"/>
    <n v="0"/>
  </r>
  <r>
    <s v="MP-00125"/>
    <d v="2025-06-16T00:00:00"/>
    <m/>
    <s v="Lu WANG"/>
    <x v="1"/>
    <s v="Petición"/>
    <x v="0"/>
    <s v="BLOQUE 5 – Soporte a operativa diaria SAP"/>
    <s v="Cambiar descripcion en portugrues de los G2 a Factura rectificativa. Revisar si esta en pro"/>
    <m/>
    <m/>
    <s v="Alta"/>
    <s v="11/10/2025 Cambiar descripcion en portugrues de los G2 a Factura rectificativa_x000a_18/06/2025 Asignada a Finanzas para ver BADI donde corregirlo._x000a_"/>
    <m/>
    <s v="M.A"/>
    <x v="0"/>
    <d v="2025-07-19T00:00:00"/>
    <d v="2025-07-26T00:00:00"/>
    <d v="2025-07-26T00:00:00"/>
    <m/>
    <s v="PT"/>
    <m/>
    <m/>
    <m/>
    <m/>
    <m/>
    <s v="N/A"/>
    <n v="0"/>
  </r>
  <r>
    <s v="MP-00126"/>
    <d v="2025-06-16T00:00:00"/>
    <m/>
    <s v="Isabel"/>
    <x v="1"/>
    <s v="Petición"/>
    <x v="3"/>
    <s v="BLOQUE 5 – Soporte a operativa diaria SAP"/>
    <s v="Formulario de Portugal"/>
    <m/>
    <m/>
    <s v="Alta"/>
    <s v="16/06/2025 Se verifica el formulario y se visualizan  "/>
    <m/>
    <s v="M.A"/>
    <x v="7"/>
    <d v="2025-06-29T00:00:00"/>
    <d v="2025-07-06T00:00:00"/>
    <d v="2025-07-06T00:00:00"/>
    <m/>
    <s v="PT"/>
    <m/>
    <m/>
    <m/>
    <m/>
    <m/>
    <s v="N/A"/>
    <n v="2.5"/>
  </r>
  <r>
    <s v="MP-00127"/>
    <d v="2025-06-19T00:00:00"/>
    <m/>
    <s v="Lu WANG"/>
    <x v="1"/>
    <s v="Formación"/>
    <x v="3"/>
    <s v="BLOQUE 5 – Soporte a operativa diaria SAP"/>
    <s v="Formación Ramo"/>
    <m/>
    <m/>
    <s v="Alta"/>
    <s v="Formación Ramo"/>
    <m/>
    <s v="M.A"/>
    <x v="0"/>
    <d v="2025-06-29T00:00:00"/>
    <d v="2025-07-06T00:00:00"/>
    <d v="2025-07-06T00:00:00"/>
    <m/>
    <m/>
    <m/>
    <m/>
    <m/>
    <m/>
    <m/>
    <m/>
    <n v="0"/>
  </r>
  <r>
    <s v="MP-00128"/>
    <d v="2025-06-20T00:00:00"/>
    <m/>
    <s v="Lu WANG"/>
    <x v="1"/>
    <s v="Incidencia"/>
    <x v="3"/>
    <s v="BLOQUE 5 – Soporte a operativa diaria SAP"/>
    <s v="Factura ES25019052 Cliente Turco"/>
    <m/>
    <m/>
    <s v="Alta"/>
    <s v="Factura ES25019052 Cliente Turco"/>
    <m/>
    <s v="M.A"/>
    <x v="7"/>
    <d v="2025-06-29T00:00:00"/>
    <d v="2025-07-06T00:00:00"/>
    <d v="2025-07-06T00:00:00"/>
    <m/>
    <m/>
    <m/>
    <m/>
    <m/>
    <m/>
    <m/>
    <m/>
    <n v="1.5"/>
  </r>
  <r>
    <s v="MP-0013"/>
    <d v="2025-04-28T00:00:00"/>
    <s v="Luna"/>
    <s v="Isabel"/>
    <x v="0"/>
    <s v="Incidencia"/>
    <x v="3"/>
    <s v="BLOQUE 5 – Soporte a operativa diaria SAP"/>
    <s v="Otras funciones de facturas de venta"/>
    <s v="销售发票的其他功能优化_x000a__x000a_- 发票要批量打印功能_x000a_- 海岛合并发票功能不完善_x000a_- 服务类的项，例如运费，返点，行项目在订单里面显示，但是在发票里面就消失了_x000a_- 开退单发票的时候，要有picking数据。重新再开发票的时候，还是要有picking数据。 流程繁琐。_x000a_- 不能过账的发票，就不要生成出来。_x000a_- 申请人，收货人，发票目的人，付款人，这几个不同的信息。我们开发票是开到“发票目的人”，但是增值税，附加税，记账状态，都是跟着申请人走。"/>
    <s v="Por ejemplo:_x000a_- Imprimir o descargar masivamente de las facturas de venta_x000a_- Combinar factuas de venta del mismo cliente de Canarias _x000a_- Posiciones como transporte, o rapel, aparecen en los pedidos, y desaparecen en las facturas emitidas_x000a_- Cuando se emite factura rectificativa, se necesita picking. Y se vuelve a emitir factura de venta, se necesita picking. Es complicado el flujo._x000a_- Queremos que si la factura no se contabiliza, no se genera directamente._x000a_- En cuando a los &quot;Solicitante,Destinatario mercancia, Destinatario de factura, Responsable de pago&quot;, se emite factura a &quot;Destinatario de factura&quot;, pero IVA, recargo de equivalencia, estado de contabilizar, todo se define por &quot;Solicitante&quot;."/>
    <s v="Baja"/>
    <s v="08/05/2025 Hay que realizar una toma de requerimientos para ver si hay algún fallo o es que realmente se necesita una formación para verificar la funcionalidad del sistema._x000a_13/05/2025 Se solicta información de que informes se necesita extraer._x000a_20/05/2025 se elimina la primera fecha de entrga 03/06/2025/Se retrasa al no haber recurso de ventas"/>
    <s v="S4/hana"/>
    <s v="RMB"/>
    <x v="1"/>
    <d v="2025-12-31T00:00:00"/>
    <d v="2025-06-09T00:00:00"/>
    <d v="2025-06-09T00:00:00"/>
    <m/>
    <s v="ES"/>
    <m/>
    <s v="Problemas con el usuario"/>
    <s v="No"/>
    <s v="Proceso"/>
    <m/>
    <s v="Bajo"/>
    <n v="3"/>
  </r>
  <r>
    <s v="MP-0014"/>
    <d v="2025-04-28T00:00:00"/>
    <s v="Tao"/>
    <s v="Felipe"/>
    <x v="0"/>
    <s v="Incidencia"/>
    <x v="0"/>
    <s v="BLOQUE 5 – Soporte a operativa diaria SAP"/>
    <s v="Problema de Giro"/>
    <s v="Giro 扣款的问题"/>
    <s v="1. Número de cliente no se puede meter masivamente_x000a_2. Fecha de cargo de GIRO no se coincide con lo que aparece en SAP_x000a_3. No se puede generar fichero si no llega la fecha de vencimiento del GIRO_x000a_4. Si el cliente tiene factura venta normal, y luego se emite factura rectificativa / abono, el sistema no se deduce el importe de abono. "/>
    <s v="Media"/>
    <s v="08/05/2025 Verificar el proceso con MP/_x000a_05/06/2026 - parte ya realizado Necesario ver otra parte con Miguel_x000a_Verificar "/>
    <s v="S4/hana"/>
    <s v="AHY"/>
    <x v="2"/>
    <d v="2025-06-30T00:00:00"/>
    <d v="2025-07-07T00:00:00"/>
    <d v="2025-06-09T00:00:00"/>
    <m/>
    <s v="ES"/>
    <m/>
    <m/>
    <s v="No"/>
    <s v="Proceso"/>
    <m/>
    <s v="N/A"/>
    <n v="11"/>
  </r>
  <r>
    <s v="MP-0015"/>
    <d v="2025-04-28T00:00:00"/>
    <s v="Tao"/>
    <s v="Felipe"/>
    <x v="0"/>
    <s v="Incidencia"/>
    <x v="0"/>
    <s v="BLOQUE 5 – Soporte a operativa diaria SAP"/>
    <s v="Problema de SEPA"/>
    <s v="SEPA扣款的问题"/>
    <s v="1. El cargo no se realiza, cuando el cliente tiene varias cuentas bancarias, y una de ellas está bloqueadas._x000a_2. Cuando se mete un SEPA, receptor del pago (Main Paper), aparece como caracteres ilegibles, hay que modificarlo manualmente."/>
    <s v="Media"/>
    <s v="08/05/2025 Verificar el proceso con MP_x000a_1.Una cuenta bancaria bloqueada no causa que no se realice el cargo es mas un a cuenta bancaria del cliente no se puede bloquear._x000a_2.Que los caracteres sean ilegibles puede ser un error de origen que información es?/_x000a_05/06/2026 - parte ya realizado Necesario ver otra parte con Miguel"/>
    <s v="S4/hana"/>
    <s v="AHY"/>
    <x v="0"/>
    <d v="2025-06-30T00:00:00"/>
    <d v="2025-07-07T00:00:00"/>
    <d v="2025-06-09T00:00:00"/>
    <m/>
    <s v="ES"/>
    <d v="2025-07-02T00:00:00"/>
    <m/>
    <s v="No"/>
    <s v="Proceso"/>
    <m/>
    <s v="N/A"/>
    <n v="6.5"/>
  </r>
  <r>
    <s v="MP-0016"/>
    <d v="2025-04-28T00:00:00"/>
    <s v="Tao"/>
    <s v="Felipe"/>
    <x v="0"/>
    <s v="Evolutivo"/>
    <x v="0"/>
    <s v="BLOQUE 5 – Soporte a operativa diaria SAP"/>
    <s v="La app &quot;Gestión de partidas deudor&quot;, queremos que aparece información de los comerciales / vendedores, para distinguir diferente forma de pago "/>
    <s v="应收账款管理界面，需要加入业务员信息，以区分客人的不同付款类型。"/>
    <m/>
    <s v="Alta"/>
    <s v="08/05/2025 se le envia la app con la vía de pago_x000a_13/04/2025 Se pone a la espera del cliente._x000a_14/05/2025 Se contesta con una solución alternativa donde se ve la información visual… Se cambia a Alta._x000a_16/05/2025 Se agenda una reunión para confirmar requerimientos._x000a_19/05/2025 Ampliar campos tanto en pantalla como CDS_x000a_26/05/2025 Esta valorandose por la parte tecnica./Valorandose por la parte técnica y confirmado con el usaurio_x000a_30/05/2025 Descartamos por que técnicamente no se puede hacer"/>
    <s v="S4/hana"/>
    <s v="M.A"/>
    <x v="3"/>
    <d v="2025-12-31T00:00:00"/>
    <d v="2025-06-16T00:00:00"/>
    <d v="2025-06-09T00:00:00"/>
    <m/>
    <s v="ES"/>
    <m/>
    <m/>
    <s v="No"/>
    <s v="Proceso"/>
    <m/>
    <s v="N/A"/>
    <n v="1.5"/>
  </r>
  <r>
    <s v="MP-0017"/>
    <d v="2025-04-28T00:00:00"/>
    <s v="Ana"/>
    <s v="Felipe "/>
    <x v="0"/>
    <s v="Evolutivo"/>
    <x v="0"/>
    <s v="BLOQUE 5 – Soporte a operativa diaria SAP"/>
    <s v="Correcta actualización de los tipos de cambio . Formación para actualizar los tipos de cambio"/>
    <s v="正确更新汇率"/>
    <m/>
    <s v="Media"/>
    <s v="08/05/2025 Actualmente se actualizan los tipos de cambios manualmente./_x000a_03/06/2025 Se enseña al usuario a actualizar los tipos de cambio._x000a_06/06/2025 Se forma al usuario para que actualice el tipo de cambio masivamente y manual"/>
    <s v="S4/hana"/>
    <s v="AHY"/>
    <x v="7"/>
    <d v="2025-07-09T00:00:00"/>
    <d v="2025-07-16T00:00:00"/>
    <d v="2025-07-16T00:00:00"/>
    <m/>
    <s v="ES"/>
    <d v="2025-06-09T00:00:00"/>
    <s v="Sin retraso"/>
    <s v="No"/>
    <s v="Proceso"/>
    <m/>
    <s v="N/A"/>
    <n v="2"/>
  </r>
  <r>
    <s v="MP-00171"/>
    <d v="2025-04-28T00:00:00"/>
    <s v="Ana"/>
    <s v="Felipe "/>
    <x v="1"/>
    <s v="Evolutivo"/>
    <x v="0"/>
    <s v="BLOQUE 7 – Evolutivos y CRM"/>
    <s v="Revisar RPA y modificarlo"/>
    <s v="正确更新汇率"/>
    <m/>
    <s v="Alta"/>
    <s v="06/05/2025 Actualmente hay un workaroun y se ha enselñado a hacer manualmente_x000a_11/06/2025 En la reunión de seguimiento se confirma por parte de MP que esta fucnionando Mandar correo par informar de la fecha de entrada. Se cierra"/>
    <m/>
    <s v="AHY"/>
    <x v="0"/>
    <d v="2025-09-09T00:00:00"/>
    <d v="2025-09-16T00:00:00"/>
    <d v="2025-09-16T00:00:00"/>
    <m/>
    <s v="ES"/>
    <d v="2025-09-09T00:00:00"/>
    <s v="Sin retraso"/>
    <m/>
    <m/>
    <m/>
    <s v="N/A"/>
    <n v="1.5"/>
  </r>
  <r>
    <s v="MP-0018"/>
    <d v="2025-04-28T00:00:00"/>
    <s v="Felipe"/>
    <s v="Felipe"/>
    <x v="0"/>
    <s v="Evolutivo"/>
    <x v="1"/>
    <s v="BLOQUE 5 – Soporte a operativa diaria SAP"/>
    <s v="Valoración de existencias"/>
    <s v="库存价值"/>
    <m/>
    <s v="Crítica"/>
    <s v="08/05/2025 Verificar el proceso con MP/_x000a_06/06/2025 Importante intentar "/>
    <s v="S4/hana"/>
    <s v="LCC"/>
    <x v="3"/>
    <d v="2025-06-30T00:00:00"/>
    <d v="2025-07-07T00:00:00"/>
    <d v="2025-07-07T00:00:00"/>
    <m/>
    <s v="ES"/>
    <m/>
    <m/>
    <s v="No"/>
    <s v="Proceso"/>
    <m/>
    <s v="N/A"/>
    <n v="0"/>
  </r>
  <r>
    <s v="MP-0019"/>
    <d v="2025-04-28T00:00:00"/>
    <s v="Ana"/>
    <s v="Felipe"/>
    <x v="0"/>
    <s v="Incidencia"/>
    <x v="0"/>
    <s v="BLOQUE 3 – Correcciones y ajustes 2025"/>
    <s v="Descuadre de saldos en cuentas contables"/>
    <s v="NAV和SAP中的会计科目余额不匹配"/>
    <m/>
    <s v="Media"/>
    <s v="08/05/2025 Se necesita un listado de las cuentas de mayor que descuadran contablemente/_x000a_11/06/2025 Se va realizando el soporte según identifique el usuario._x000a_Se hacen ajustes de parametrización según demanda"/>
    <s v="S4/hana"/>
    <s v="M.A"/>
    <x v="3"/>
    <d v="2025-07-03T00:00:00"/>
    <d v="2025-07-10T00:00:00"/>
    <d v="2025-07-10T00:00:00"/>
    <m/>
    <s v="ES"/>
    <d v="2025-07-03T00:00:00"/>
    <m/>
    <s v="No"/>
    <s v="Proceso"/>
    <m/>
    <s v="N/A"/>
    <n v="0"/>
  </r>
  <r>
    <s v="MP-0020"/>
    <d v="2025-04-28T00:00:00"/>
    <s v="Luna"/>
    <s v="Felipe"/>
    <x v="0"/>
    <s v="Incidencia"/>
    <x v="0"/>
    <s v="BLOQUE 3 – Correcciones y ajustes 2025"/>
    <s v="Tolerancia en diferencias de pagos de 1€"/>
    <s v=" 1 欧元的付款差异"/>
    <s v="Es común diferencias de pago en los cobros, y se tiene que llevar esa diferencia manualmente a una cuenta contable."/>
    <s v="Baja"/>
    <s v="08/05/2025 Confirmar la cuenta de mayor a configurar/_x000a_04/06/2025 Se pone en proceso para confirmar requerimientos "/>
    <s v="S4/hana"/>
    <s v="AHY"/>
    <x v="2"/>
    <d v="2025-06-16T00:00:00"/>
    <d v="2025-06-23T00:00:00"/>
    <d v="2025-06-23T00:00:00"/>
    <m/>
    <s v="ES"/>
    <m/>
    <m/>
    <s v="No"/>
    <s v="Proceso"/>
    <m/>
    <s v="N/A"/>
    <n v="2.5"/>
  </r>
  <r>
    <s v="MP-0021"/>
    <d v="2025-04-28T00:00:00"/>
    <s v="Ana"/>
    <s v="Felipe"/>
    <x v="0"/>
    <s v="Incidencia"/>
    <x v="1"/>
    <s v="BLOQUE 5 – Soporte a operativa diaria SAP"/>
    <s v="Intrastat -  errores código arancelario por 10 dígitos "/>
    <s v="Intrastat - 10 位关税代码错误"/>
    <m/>
    <s v="Baja"/>
    <s v="08/05/estan metiendo códigos incorrectos los cuales modifican una vez sacado el documento/"/>
    <s v="S4/hana"/>
    <s v="LCC"/>
    <x v="6"/>
    <d v="2025-07-16T00:00:00"/>
    <d v="2025-07-23T00:00:00"/>
    <d v="2025-07-23T00:00:00"/>
    <m/>
    <s v="ES"/>
    <m/>
    <m/>
    <s v="No"/>
    <s v="Proceso"/>
    <m/>
    <s v="N/A"/>
    <n v="0"/>
  </r>
  <r>
    <s v="MP-0022"/>
    <d v="2025-04-28T00:00:00"/>
    <s v="Junting Fan"/>
    <s v="Felipe"/>
    <x v="0"/>
    <s v="Evolutivo"/>
    <x v="1"/>
    <s v="BLOQUE 5 – Soporte a operativa diaria SAP"/>
    <s v="Interco automático, por ejemplo, PV200000051 en PRD. Supervisar cadena de valor."/>
    <s v="西班牙葡萄牙公司公司间自动完成采购-销售"/>
    <m/>
    <s v="Media"/>
    <s v="08/05/2025 Verificar el problema con MP/"/>
    <s v="S4/hana"/>
    <s v="LCC"/>
    <x v="6"/>
    <d v="2025-07-16T00:00:00"/>
    <d v="2025-07-23T00:00:00"/>
    <d v="2025-07-23T00:00:00"/>
    <m/>
    <s v="ES"/>
    <m/>
    <m/>
    <s v="No"/>
    <s v="Proceso"/>
    <m/>
    <s v="N/A"/>
    <n v="0"/>
  </r>
  <r>
    <s v="MP-0023"/>
    <d v="2025-04-28T00:00:00"/>
    <s v="Junting Fan"/>
    <s v="Felipe"/>
    <x v="0"/>
    <s v="Evolutivo"/>
    <x v="3"/>
    <s v="BLOQUE 5 – Soporte a operativa diaria SAP"/>
    <s v="Meridiano Palaciano en Portugal problema con SAF-T. dígitos de 8 a 10. No esta configurado."/>
    <s v="SAP 生成SAF-T 文件，在葡萄牙税局申报，SAF-T文件报错。"/>
    <s v="Problema 1:  tabla de productos/servicios (product) &lt;cncode&gt;_x000a_Problema 2: numeración de líneas_x000a_Problema 3: número de documento aparece F2 en vez de FT"/>
    <s v="Media"/>
    <s v="08/05/2025 Actualmente SAP no es el sofware que manda los documentos a SAFT/_x000a_11/06/2025 se solicita una factura de Navisión_x000a_25/06/2025 - pasar a consultor Logístico para ver si está bien configurado el codigo Intrastat con Código arancelario"/>
    <s v="S4/hana"/>
    <s v="AHY"/>
    <x v="1"/>
    <d v="2025-07-26T00:00:00"/>
    <d v="2025-08-02T00:00:00"/>
    <d v="2025-08-02T00:00:00"/>
    <m/>
    <s v="PT"/>
    <m/>
    <m/>
    <s v="No"/>
    <s v="Proceso"/>
    <m/>
    <s v="N/A"/>
    <n v="1"/>
  </r>
  <r>
    <s v="MP-0024"/>
    <d v="2025-04-28T00:00:00"/>
    <s v="Jorge"/>
    <s v="Felipe"/>
    <x v="0"/>
    <s v="Evolutivo"/>
    <x v="0"/>
    <s v="BLOQUE 5 – Soporte a operativa diaria SAP"/>
    <s v="Proceso de pago automático no usado por datos incorrectos. Pagos manuales. Confirming y Pagares proveedores"/>
    <s v="由于数据不正确，自动付款流程未使用。手动付款。"/>
    <m/>
    <s v="Media"/>
    <s v="08/05/2025 Necesario ver que pagos realizamos/_x000a_04/06/2025 Se pone en proceso para confirmar requerimientos _x000a_10/06/2025 Se analiza proceso y se pide mas información al usuario_x000a_23/06/2025 MP no lo hace bien. Se va a realizar un documento + formación de como se debe hacer"/>
    <s v="S4/hana"/>
    <s v="AHY"/>
    <x v="0"/>
    <d v="2025-07-26T00:00:00"/>
    <d v="2025-08-02T00:00:00"/>
    <d v="2025-08-02T00:00:00"/>
    <m/>
    <s v="ES"/>
    <d v="2025-07-03T00:00:00"/>
    <m/>
    <s v="No"/>
    <s v="Proceso"/>
    <m/>
    <s v="N/A"/>
    <n v="20.5"/>
  </r>
  <r>
    <s v="MP-0025"/>
    <d v="2025-04-28T00:00:00"/>
    <s v="Ana"/>
    <s v="Felipe"/>
    <x v="0"/>
    <s v="Formación"/>
    <x v="0"/>
    <s v="BLOQUE 5 – Soporte a operativa diaria SAP"/>
    <s v="Falta formación para que los usuarios sepan cómo hacer lo siguiente: crear cuenta contable, modificar cuenta contable, modificar cuenta contable para asiento manual, bloquear cuenta contable etc."/>
    <s v="没有系统培训，相关人员无法进行以下操作：会计科目创建、更改、手动过账、锁定等操作"/>
    <m/>
    <s v="Media"/>
    <s v="08/05/2025 Actualmente esto es un proceso que lo realiza el equipo técnico de mantenimiento, respecto a la formación al usuario se puede explicar el DM pero la gestion de dicho DM es de la empresa que realiza el mantenimeinto./"/>
    <s v="S4/hana"/>
    <s v="AHY"/>
    <x v="3"/>
    <d v="2025-06-23T00:00:00"/>
    <d v="2025-06-30T00:00:00"/>
    <d v="2025-06-30T00:00:00"/>
    <m/>
    <s v="ES"/>
    <d v="2025-06-10T00:00:00"/>
    <s v="Sin retraso"/>
    <s v="No"/>
    <s v="Proceso"/>
    <m/>
    <s v="N/A"/>
    <n v="0"/>
  </r>
  <r>
    <s v="MP-0026"/>
    <d v="2025-04-28T00:00:00"/>
    <s v="Marta"/>
    <s v="Felipe"/>
    <x v="0"/>
    <s v="Incidencia"/>
    <x v="0"/>
    <s v="BLOQUE 5 – Soporte a operativa diaria SAP"/>
    <s v="La funcionalidad de Gestión del Crédito no funciona correctamente, ya que deja grabar los pedidos de Venta. Se puede crear pedido de venta, aunque el cliente ha superado su límite de crédito."/>
    <s v="信用额度不足的客户仍然可以划单，信用额度管理功能缺失。"/>
    <m/>
    <s v="Baja"/>
    <s v="08/05/2025 Se va a probar a realizar un pedido para verificar si la funcionalidad esta activada/_x000a_10/06/2025 Se solicita información para que te indiquen si hay algun cliente que tenga control de crédito._x000a_Parada por Chan el viernes 27"/>
    <s v="S4/hana"/>
    <s v="LJS"/>
    <x v="1"/>
    <d v="2025-09-30T00:00:00"/>
    <d v="2025-10-07T00:00:00"/>
    <d v="2025-10-07T00:00:00"/>
    <m/>
    <s v="ES"/>
    <m/>
    <m/>
    <s v="No"/>
    <s v="Proceso"/>
    <m/>
    <s v="N/A"/>
    <n v="14"/>
  </r>
  <r>
    <s v="MP-0027"/>
    <d v="2025-04-28T00:00:00"/>
    <s v="Marta"/>
    <s v="Felipe"/>
    <x v="0"/>
    <s v="Incidencia"/>
    <x v="0"/>
    <s v="BLOQUE 5 – Soporte a operativa diaria SAP"/>
    <s v="Saldos de Activos Fijos"/>
    <s v="固定资产余额"/>
    <m/>
    <s v="Baja"/>
    <s v="08/05/2025 Una vez cerrado el Año en Navisión se extraeran los datos._x000a_Se validará con lo que hay en SAP._x000a_Se haran los ajustes contables, amortización no planificada para igualar saldos y empezar a contabilizar en Enero./"/>
    <s v="S4/hana"/>
    <s v="M.A"/>
    <x v="6"/>
    <d v="2025-09-30T00:00:00"/>
    <d v="2025-10-07T00:00:00"/>
    <d v="2025-10-07T00:00:00"/>
    <m/>
    <s v="ES"/>
    <m/>
    <m/>
    <s v="No"/>
    <s v="Proceso"/>
    <m/>
    <s v="N/A"/>
    <n v="0"/>
  </r>
  <r>
    <s v="MP-0028"/>
    <d v="2025-04-28T00:00:00"/>
    <s v="Ana"/>
    <s v="Felipe"/>
    <x v="0"/>
    <s v="Incidencia"/>
    <x v="0"/>
    <s v="BLOQUE 5 – Soporte a operativa diaria SAP"/>
    <s v="Cuenta de mayor. Cuenta 40090000 facturas pendientes de recibir, saldo no es correcto. "/>
    <s v="待收发票科目余额不正确"/>
    <m/>
    <s v="Media"/>
    <s v="08/05/2025 Verificar con MP que es lo considera incorrecto./_x000a_02/06/2025 Workshop para confirmar como realiazs_x000a_06/06/2025 Se esta dando soporte por parte de Altim, en proceso por parte de MP"/>
    <s v="S4/hana"/>
    <s v="AHY"/>
    <x v="2"/>
    <d v="2025-09-30T00:00:00"/>
    <d v="2025-10-07T00:00:00"/>
    <d v="2025-10-07T00:00:00"/>
    <m/>
    <s v="ES"/>
    <m/>
    <m/>
    <s v="No"/>
    <s v="Proceso"/>
    <m/>
    <s v="N/A"/>
    <n v="2"/>
  </r>
  <r>
    <s v="MP-0029"/>
    <d v="2025-04-28T00:00:00"/>
    <s v="Junting Fan, Jorge"/>
    <s v="Felipe"/>
    <x v="0"/>
    <s v="Evolutivo"/>
    <x v="0"/>
    <s v="BLOQUE 5 – Soporte a operativa diaria SAP"/>
    <s v="Informes de cobro y pago"/>
    <s v="收款和付款报表"/>
    <m/>
    <s v="Media"/>
    <s v="08/05/2025 Verificar con MP que es lo que se necesita/_x000a_04/06/2025 Se pone en proceso para confirmar requerimientos _x000a_06/06/2025 se ha consultado al usuario y no identifica ninguna necesidad ni incidencia"/>
    <s v="S4/hana"/>
    <s v="AHY"/>
    <x v="0"/>
    <d v="2025-06-30T00:00:00"/>
    <d v="2025-07-07T00:00:00"/>
    <d v="2025-07-07T00:00:00"/>
    <m/>
    <s v="ES"/>
    <d v="2025-06-30T00:00:00"/>
    <s v="Sin retraso"/>
    <s v="No"/>
    <s v="Proceso"/>
    <m/>
    <s v="N/A"/>
    <n v="2"/>
  </r>
  <r>
    <s v="MP-0030"/>
    <d v="2025-04-28T00:00:00"/>
    <s v="Susana, Luna"/>
    <s v="Felipe"/>
    <x v="0"/>
    <s v="Evolutivo"/>
    <x v="0"/>
    <s v="BLOQUE 5 – Soporte a operativa diaria SAP"/>
    <s v="Imputaciones automáticas"/>
    <s v="自动分配成本中心"/>
    <s v="Existen procesos donde se está registrando la imputación de manera manual al centro de coste cuando siempre se sigue el mismo criterio."/>
    <s v="Baja"/>
    <s v="08/05/2025 Dependiendo de la cuenta contable u otro objeto se puede configurar una imputación automática/_x000a_06/06/2025 Se extrae la información para que se le asigne el ceco correspondiente_x000a_11/06/2025 Recordar_x000a_3 semanas sin contestar se para"/>
    <s v="S4/hana"/>
    <s v="AHY"/>
    <x v="1"/>
    <d v="2025-09-30T00:00:00"/>
    <d v="2025-10-07T00:00:00"/>
    <d v="2025-10-07T00:00:00"/>
    <m/>
    <s v="ES"/>
    <m/>
    <m/>
    <s v="No"/>
    <s v="Proceso"/>
    <m/>
    <s v="N/A"/>
    <n v="1.5"/>
  </r>
  <r>
    <s v="MP-0031"/>
    <d v="2025-04-28T00:00:00"/>
    <s v="Luna"/>
    <s v="Felipe"/>
    <x v="0"/>
    <s v="Incidencia"/>
    <x v="3"/>
    <s v="BLOQUE 5 – Soporte a operativa diaria SAP"/>
    <s v="Errores con transacción VF04"/>
    <s v="VF04 APP 功能缺失"/>
    <s v="1. En la interfaz de facturación, solo puede ver el importe sin impuestos y debe mostrar la tasa impositiva o el monto después de impuestos._x000a_2. No se actualiza el importe si modificamos el pedido._x000a_3. La interfaz VF04 no se puede guardar después del ajuste."/>
    <s v="Baja"/>
    <s v="/"/>
    <s v="S4/hana"/>
    <s v="RMB"/>
    <x v="6"/>
    <d v="2025-09-30T00:00:00"/>
    <d v="2025-10-07T00:00:00"/>
    <d v="2025-10-07T00:00:00"/>
    <m/>
    <s v="ES"/>
    <m/>
    <m/>
    <s v="No"/>
    <s v="Proceso"/>
    <m/>
    <s v="N/A"/>
    <n v="0"/>
  </r>
  <r>
    <s v="MP-0032"/>
    <d v="2025-04-28T00:00:00"/>
    <m/>
    <s v="Felipe"/>
    <x v="0"/>
    <s v="Evolutivo"/>
    <x v="0"/>
    <s v="BLOQUE 5 – Soporte a operativa diaria SAP"/>
    <s v="Manuales erróneos"/>
    <s v="用户手册错误"/>
    <m/>
    <s v="Baja"/>
    <s v="11/06/2025 pte de confirmar manuales"/>
    <s v="S4/hana"/>
    <s v="LJS"/>
    <x v="5"/>
    <d v="2025-09-30T00:00:00"/>
    <d v="2025-10-07T00:00:00"/>
    <d v="2025-10-07T00:00:00"/>
    <m/>
    <s v="ES"/>
    <m/>
    <m/>
    <s v="No"/>
    <s v="Proceso"/>
    <m/>
    <s v="N/A"/>
    <n v="0"/>
  </r>
  <r>
    <s v="MP-0033"/>
    <d v="2025-04-28T00:00:00"/>
    <s v="Luna"/>
    <s v="Felipe"/>
    <x v="0"/>
    <s v="Evolutivo"/>
    <x v="3"/>
    <s v="BLOQUE 5 – Soporte a operativa diaria SAP"/>
    <s v="Copia de pedidos"/>
    <s v="正单复制订单的时候，每个行项目要一条一条按回车确认。开退单的时候，也要一条一条按回车。总结，类似复制订单的操作的时候，都需要每一行回车。"/>
    <s v="Cuando se copia un pedido de venta, se tiene que confirmar posición por posición. Cuando se emite una factura rectificativa, también hay que confirmar posición por posición. No es eficiente."/>
    <s v="Baja"/>
    <s v="/"/>
    <s v="S4/hana"/>
    <s v="RMB"/>
    <x v="6"/>
    <d v="2025-09-30T00:00:00"/>
    <d v="2025-10-07T00:00:00"/>
    <d v="2025-10-07T00:00:00"/>
    <m/>
    <s v="ES"/>
    <m/>
    <m/>
    <s v="No"/>
    <s v="Proceso"/>
    <m/>
    <s v="N/A"/>
    <n v="0"/>
  </r>
  <r>
    <s v="MP-0034"/>
    <d v="2025-04-30T00:00:00"/>
    <m/>
    <s v="Lu WANG"/>
    <x v="0"/>
    <s v="Incidencia"/>
    <x v="0"/>
    <s v="BLOQUE 5 – Soporte a operativa diaria SAP"/>
    <s v="Facturas / Nota de crédito mal recargo equivalencia"/>
    <m/>
    <s v="listado de las Facturas / Nota de crédito que hemos identificado que está mal recargo equivalencia. _x000a__x000a_Nos comentáis. _x000a__x000a_90006819_x000a_90006815_x000a_90006813_x000a_90006812_x000a_90006809_x000a_90006806_x000a_90006799_x000a_90006798_x000a_90006793_x000a_90006838_x000a_90006829_x000a_90006918_x000a_90006826_x000a_90006825_x000a_90006824_x000a_90006822_x000a_90006788_x000a_90006787_x000a_90006786_x000a_90006783_x000a_90006780_x000a_90006776_x000a_90006775_x000a_90006672_x000a_90006674_x000a_90006675_x000a_90006679_x000a_90006659_x000a_90006660_x000a_90006661_x000a_90006668_x000a_90006670_x000a_90006658_x000a_90006657_x000a_90006625_x000a_90006623_x000a_90006621_x000a_90006653_x000a_90006652_x000a_90006680_x000a_90006681_x000a_90006687_x000a_90006689_x000a_90006691_x000a_90006695_x000a_90006696_x000a_90006698_x000a_90006701_x000a_90006627_x000a_90006497_x000a_90006492_x000a_90006491_x000a_90006488_x000a_90006485_x000a_90006482_x000a_90006479_x000a_90006478_x000a_90006475_x000a_90006474_x000a_90006472_x000a_90006469_x000a_90006639_x000a_90006636_x000a_90006638_x000a_90006647_x000a_90006651_x000a_90006516_x000a_90006504_x000a_90006632_x000a_90006641_x000a_90006645_x000a_90006500_x000a_90006528_x000a_90006527_x000a_90006526_x000a_90006525_x000a_90006524_x000a_00*0006523_x000a_90006514_x000a_90006508_x000a_90006503_x000a_90006541_x000a_90006477_x000a_90006462_x000a_90006538_x000a_90006539_x000a_90006542_x000a_90006543_x000a_90006544_x000a_90006545_x000a_90006501_x000a_90006456_x000a_ES25007842_x000a_ES25008480_x000a_ES01001753_x000a_"/>
    <s v="Alta"/>
    <s v="6/05/2025 Verificando el comportamiento de los indcadores de IVA._x000a_Se recibe el listado de facturas con el Recargo de equivalencia errorne._x000a_Verificando el proceso con el suaurio ya que los importes contabilizados en el IVA repercutido son incorrectos._x000a_Se ha confirmado con el usuario que ahora el IVA funciona correctamente , se tiene que definir el proceso para que cancelen la factura y vuelvan a contabilizarla._x000a_19/05/2025 Se cierra/Coonfirmado cierre la semana pasada"/>
    <s v="S4/hana"/>
    <s v="MPP"/>
    <x v="0"/>
    <d v="2025-05-19T00:00:00"/>
    <d v="2025-05-19T00:00:00"/>
    <d v="2025-05-19T00:00:00"/>
    <m/>
    <s v="ES"/>
    <d v="2025-05-19T00:00:00"/>
    <s v="Sin retraso"/>
    <s v="No"/>
    <s v="Proceso"/>
    <m/>
    <s v="N/A"/>
    <n v="3"/>
  </r>
  <r>
    <s v="MP-0035"/>
    <d v="2025-05-05T00:00:00"/>
    <s v="JuanMa"/>
    <s v="Lu WANG"/>
    <x v="0"/>
    <s v="Proyecto"/>
    <x v="2"/>
    <s v="BLOQUE 6 – SGA"/>
    <s v="No hay una sincronización entre SGA  y SAP:_x000a_1.SGA cuando hace la entrega, viaja a SAP, hace el picking y viaja a SAP, hace la salida y viaja a SAP y en SAP no contabiliza por motivos desconocidos._x000a_2. Los almacenes que hay en SGA no coinciden con los que hay en SAP (no se quiso replicarlos). Es imprescindible definir la arquitectura necesaria para que SGA pueda llevar la trazabilidad deseada._x000a_3. Cuando cambia unidad de medida en SAP, no se cambia en el CRM._x000a_4. Cuando se registra el picking y se pasa la entrega a SAP, la API es muy lenta_x000a_5. Todo lo que tiene que ver con estados, modificación de un pedido, etc. no comunica (Problema de API)._x000a_Se desconoce cómo cerrar Pedidos de venta que tienen entregas parciales: tienen mucho stock “colgado”, que aparece como reservado y no es así._x000a_Los pedidos de venta que tienen más de 2000 posiciones no entran en SAP desde CRM, parece que SAP no lo permite._x000a_El pedido de MM no puede ser más de 9999._x000a__x000a__x000a__x000a__x000a__x000a_"/>
    <m/>
    <m/>
    <s v="Alta"/>
    <s v="05/05/2025 MA:_x000a_Documentos Obligatorios._x000a_- Pedido_x000a_- Albaran    _x000a_              Delivery 8xxxx - ENTXXX_x000a_              Movimiento de mercancias 49xxx_x000a_- Factura_x000a_Si existe diferencia entre lo entregado y lo facturado no sale la factura - Esto es lo que se quiere._x000a_Si no hay diferencias se contabiliza a Pendiente de facturar._x000a_SGA sólo entrega el máximo de lo pedido._x000a_MP tiene que confirmar independientemente de que se contabiliza aunque la cantidad no coincida._x000a_MP tiene que confirmar que se hace con el Albaran de SGA?_x000a_Todas las entregas que se han generado en Diciembre_x000a_Los almacenes no estan Alineados:_x000a_-Se quiere destruir._x000a_-Cuando la calidad es mala._x000a_-Diferencias de Inventario._x000a_-Por devolución._x000a_-Hasta 8 alamcenes_x000a_SAP tiene materiales con dos staus: Bloqueado o disponible,_x000a_No  se puede consultar la información del almacen , sólo hasta Marzo_x000a_Verificar que es lo que hay en cada sistema SGA y SAP._x000a_Revisar los procesos con los responsables, _x000a_06/05/2025 MA: Parado por haberse priorizado la subcontratación./En proceso"/>
    <s v="S4/hana"/>
    <s v="LCC"/>
    <x v="1"/>
    <d v="2025-09-30T00:00:00"/>
    <d v="2025-10-07T00:00:00"/>
    <d v="2025-10-07T00:00:00"/>
    <m/>
    <s v="ES"/>
    <m/>
    <m/>
    <s v="No"/>
    <s v="Proceso"/>
    <n v="1"/>
    <s v="N/A"/>
    <n v="7"/>
  </r>
  <r>
    <s v="MP-00351"/>
    <d v="2025-05-20T00:00:00"/>
    <m/>
    <s v="Liu Yalu"/>
    <x v="1"/>
    <s v="Proyecto"/>
    <x v="2"/>
    <s v="BLOQUE 6 – SGA"/>
    <s v="Revisión Integración Suite"/>
    <m/>
    <m/>
    <s v="Alta"/>
    <s v="20/05/2025 Revisión y pregunta de requerimientos._x000a_                      Se propone hacer un inventario de las interfaces, donde pueda ver origen, destino, urls de conexión, interface y descripción/Se prioriza revisar las *PRD de SGA_x000a_11/06/2025 Funcionalidad: Para que sirve._x000a_Acciones a realizar por Altim: si es necesario realizar algo por nuestra parte para corregir la integración"/>
    <s v="S4/hana"/>
    <s v="AL"/>
    <x v="5"/>
    <d v="2025-06-30T00:00:00"/>
    <d v="2025-07-07T00:00:00"/>
    <d v="2025-07-07T00:00:00"/>
    <m/>
    <s v="ES"/>
    <m/>
    <m/>
    <m/>
    <m/>
    <m/>
    <s v="N/A"/>
    <n v="54"/>
  </r>
  <r>
    <s v="MP-0036"/>
    <d v="2025-05-05T00:00:00"/>
    <m/>
    <s v="Liu Yalu"/>
    <x v="0"/>
    <s v="Incidencia"/>
    <x v="2"/>
    <s v="BLOQUE 5 – Soporte a operativa diaria SAP"/>
    <s v="Disponibilidad de stock errónea en CRM"/>
    <m/>
    <m/>
    <s v="Baja"/>
    <s v="/"/>
    <s v="S4/hana"/>
    <s v="AL"/>
    <x v="6"/>
    <d v="2025-09-30T00:00:00"/>
    <d v="2025-10-07T00:00:00"/>
    <d v="2025-10-07T00:00:00"/>
    <m/>
    <s v="ES"/>
    <m/>
    <m/>
    <s v="No"/>
    <s v="Proceso"/>
    <m/>
    <s v="N/A"/>
    <n v="0"/>
  </r>
  <r>
    <s v="MP-0037"/>
    <d v="2025-05-05T00:00:00"/>
    <m/>
    <s v="Liu Yalu"/>
    <x v="0"/>
    <s v="Incidencia"/>
    <x v="2"/>
    <s v="BLOQUE 5 – Soporte a operativa diaria SAP"/>
    <s v="CRM consulta el MRP de SAP y cuenta con 990 unidades disponibles provenientes de un pedido de compra no recibido, pero con fecha prevista de entrada anterior a la fecha de entrega a cliente prevista."/>
    <m/>
    <m/>
    <s v="Baja"/>
    <s v="/"/>
    <s v="S4/hana"/>
    <s v="AL"/>
    <x v="6"/>
    <d v="2025-09-30T00:00:00"/>
    <d v="2025-10-07T00:00:00"/>
    <d v="2025-10-07T00:00:00"/>
    <m/>
    <s v="ES"/>
    <m/>
    <m/>
    <s v="No"/>
    <s v="Proceso"/>
    <m/>
    <s v="N/A"/>
    <n v="0"/>
  </r>
  <r>
    <s v="MP-0038"/>
    <d v="2025-05-05T00:00:00"/>
    <m/>
    <s v="Liu Yalu"/>
    <x v="0"/>
    <s v="Incidencia"/>
    <x v="2"/>
    <s v="BLOQUE 5 – Soporte a operativa diaria SAP"/>
    <s v="Aparentemente es CRM quien está operando de manera errónea. No descuenta del stock disponible los pedidos de venta procesados, y permite la venta de stock  no disponible realmente"/>
    <m/>
    <m/>
    <s v="Baja"/>
    <s v="/"/>
    <s v="S4/hana"/>
    <s v="AL"/>
    <x v="6"/>
    <d v="2025-09-30T00:00:00"/>
    <d v="2025-10-07T00:00:00"/>
    <d v="2025-10-07T00:00:00"/>
    <m/>
    <s v="ES"/>
    <m/>
    <m/>
    <s v="No"/>
    <s v="Proceso"/>
    <m/>
    <s v="N/A"/>
    <n v="0"/>
  </r>
  <r>
    <s v="MP-0039"/>
    <d v="2025-05-05T00:00:00"/>
    <m/>
    <s v="Liu Yalu"/>
    <x v="0"/>
    <s v="Incidencia"/>
    <x v="3"/>
    <s v="BLOQUE 5 – Soporte a operativa diaria SAP"/>
    <s v="Envío automático de  Excel y Factura al correo del cliente: Tienen en el maestro del cliente en los campos de los atributos algo para enviar el Excel."/>
    <m/>
    <m/>
    <s v="Baja"/>
    <s v="/"/>
    <s v="S4/hana"/>
    <s v="RMB"/>
    <x v="6"/>
    <d v="2025-09-30T00:00:00"/>
    <d v="2025-10-07T00:00:00"/>
    <d v="2025-10-07T00:00:00"/>
    <m/>
    <s v="ES"/>
    <m/>
    <m/>
    <s v="No"/>
    <s v="Proceso"/>
    <m/>
    <s v="N/A"/>
    <n v="0"/>
  </r>
  <r>
    <s v="MP-0040"/>
    <d v="2025-05-05T00:00:00"/>
    <m/>
    <s v="Liu Yalu"/>
    <x v="0"/>
    <s v="Incidencia"/>
    <x v="3"/>
    <s v="BLOQUE 5 – Soporte a operativa diaria SAP"/>
    <s v="Tienen una APP &quot;Facturas Excel&quot;"/>
    <m/>
    <m/>
    <s v="Baja"/>
    <s v="/"/>
    <s v="S4/hana"/>
    <s v="RMB"/>
    <x v="6"/>
    <d v="2025-09-30T00:00:00"/>
    <d v="2025-10-07T00:00:00"/>
    <d v="2025-10-07T00:00:00"/>
    <m/>
    <s v="ES"/>
    <m/>
    <m/>
    <s v="No"/>
    <s v="Proceso"/>
    <m/>
    <s v="N/A"/>
    <n v="0"/>
  </r>
  <r>
    <s v="MP-00402"/>
    <d v="2025-05-05T00:00:00"/>
    <m/>
    <s v="Liu Yalu"/>
    <x v="0"/>
    <s v="Incidencia"/>
    <x v="3"/>
    <s v="BLOQUE 5 – Soporte a operativa diaria SAP"/>
    <s v="Autosuministrar: permitir que, mediante un job, se suministre el pedido de manera automática; cuando se quite el bloqueo de entrega = CRM. Es un job que ha funcionado, pero &quot;demasiado&quot;. Debería suministrar todo lo que dias atrás incluso este sin suministrar. El job crea solo la entrega. El Picking lo hace SGA"/>
    <m/>
    <m/>
    <s v="Baja"/>
    <s v="/"/>
    <s v="S4/hana"/>
    <s v="RMB"/>
    <x v="6"/>
    <d v="2025-09-30T00:00:00"/>
    <d v="2025-10-07T00:00:00"/>
    <d v="2025-10-07T00:00:00"/>
    <m/>
    <s v="ES"/>
    <m/>
    <m/>
    <s v="No"/>
    <s v="Proceso"/>
    <m/>
    <s v="N/A"/>
    <n v="0"/>
  </r>
  <r>
    <s v="MP-0041"/>
    <d v="2025-05-05T00:00:00"/>
    <m/>
    <s v="Liu Yalu"/>
    <x v="0"/>
    <s v="Incidencia"/>
    <x v="3"/>
    <s v="BLOQUE 5 – Soporte a operativa diaria SAP"/>
    <s v="Restricción de acceso de JEFE DE VENTA a exclusivamente sus vendedores, Zhen, Marcos Fernando, Sabrina. Que los Jefes de Venta solo puedan ver lo de su departamento: _x000a_- Multiprecio_x000a_- Tradicional_x000a_- Grandes Superficies_x000a_Por ejemplo, los vendedores de CHEN empiezan por 8 y están como interlocutores en los pedidos de venta"/>
    <m/>
    <m/>
    <s v="Baja"/>
    <s v="/"/>
    <s v="S4/hana"/>
    <s v="RMB"/>
    <x v="6"/>
    <d v="2025-09-30T00:00:00"/>
    <d v="2025-10-07T00:00:00"/>
    <d v="2025-10-07T00:00:00"/>
    <m/>
    <s v="ES"/>
    <m/>
    <m/>
    <s v="No"/>
    <s v="Proceso"/>
    <m/>
    <s v="N/A"/>
    <n v="0"/>
  </r>
  <r>
    <s v="MP-00411"/>
    <d v="2025-05-05T00:00:00"/>
    <m/>
    <s v="Liu Yalu"/>
    <x v="0"/>
    <s v="Incidencia"/>
    <x v="3"/>
    <s v="BLOQUE 5 – Soporte a operativa diaria SAP"/>
    <s v="Tablón de estadísticas logísticas: seguimiento del pedido al cliente. Interfaz con operador logístico. Trabajan con 4 o 5 transportistas"/>
    <m/>
    <m/>
    <s v="Baja"/>
    <s v="/"/>
    <s v="S4/hana"/>
    <s v="RMB"/>
    <x v="6"/>
    <d v="2025-09-30T00:00:00"/>
    <d v="2025-10-07T00:00:00"/>
    <d v="2025-10-07T00:00:00"/>
    <m/>
    <s v="ES"/>
    <m/>
    <m/>
    <s v="No"/>
    <s v="Proceso"/>
    <m/>
    <s v="N/A"/>
    <n v="0"/>
  </r>
  <r>
    <s v="MP-00412"/>
    <d v="2025-05-05T00:00:00"/>
    <m/>
    <s v="Liu Yalu"/>
    <x v="0"/>
    <s v="Incidencia"/>
    <x v="3"/>
    <s v="BLOQUE 5 – Soporte a operativa diaria SAP"/>
    <s v="Diferencia de importe: necesita poder imprimir PDF: se necesita una factura rectificativa. Necesitan que de la clase de pedido CBAR salga factura rectificativa. Con el documento de diferencia de precios no se puede conciliar en Finanzas. Ejemplo1600000797 en PRD. Meten un asiento directamente por FI (DG) y quieren sacar un documento impreso. Otro es el DR"/>
    <m/>
    <m/>
    <s v="Baja"/>
    <s v="/"/>
    <s v="S4/hana"/>
    <s v="RMB"/>
    <x v="6"/>
    <d v="2025-09-30T00:00:00"/>
    <d v="2025-10-07T00:00:00"/>
    <d v="2025-10-07T00:00:00"/>
    <m/>
    <s v="ES"/>
    <m/>
    <m/>
    <s v="No"/>
    <s v="Proceso"/>
    <m/>
    <s v="N/A"/>
    <n v="0"/>
  </r>
  <r>
    <s v="MP-00413"/>
    <d v="2025-05-05T00:00:00"/>
    <m/>
    <s v="Liu Yalu"/>
    <x v="0"/>
    <s v="Incidencia"/>
    <x v="3"/>
    <s v="BLOQUE 5 – Soporte a operativa diaria SAP"/>
    <s v="Finanzas quiere  ver los comentarios del pedido en el pool de facturación. Por ejemplo, el pedidoYG25001309 en PRD. En la pestaña &quot;campos libres&quot; hay un comentario, y quieren que facturación lo vea y han pensado en la VF04"/>
    <m/>
    <m/>
    <s v="Baja"/>
    <s v="/"/>
    <s v="S4/hana"/>
    <s v="RMB"/>
    <x v="6"/>
    <d v="2025-09-30T00:00:00"/>
    <d v="2025-10-07T00:00:00"/>
    <d v="2025-10-07T00:00:00"/>
    <m/>
    <s v="ES"/>
    <m/>
    <m/>
    <s v="No"/>
    <s v="Proceso"/>
    <m/>
    <s v="N/A"/>
    <n v="0"/>
  </r>
  <r>
    <s v="MP-00414"/>
    <d v="2025-05-05T00:00:00"/>
    <m/>
    <s v="Liu Yalu"/>
    <x v="0"/>
    <s v="Incidencia"/>
    <x v="3"/>
    <s v="BLOQUE 5 – Soporte a operativa diaria SAP"/>
    <s v="Cuando imprima la factura principal, imprima el formulario de devolución al mismo tiempo, el formulario de devolución debe fusionarse, no lo envíe al cliente por separado."/>
    <m/>
    <m/>
    <s v="Baja"/>
    <s v="/"/>
    <s v="S4/hana"/>
    <s v="RMB"/>
    <x v="6"/>
    <d v="2025-09-30T00:00:00"/>
    <d v="2025-10-07T00:00:00"/>
    <d v="2025-10-07T00:00:00"/>
    <m/>
    <s v="ES"/>
    <m/>
    <m/>
    <s v="No"/>
    <s v="Proceso"/>
    <m/>
    <s v="N/A"/>
    <n v="0"/>
  </r>
  <r>
    <s v="MP-00415"/>
    <d v="2025-05-05T00:00:00"/>
    <m/>
    <s v="Liu Yalu"/>
    <x v="0"/>
    <s v="Incidencia"/>
    <x v="3"/>
    <s v="BLOQUE 5 – Soporte a operativa diaria SAP"/>
    <s v="Ejemplo app de gestión de facturas de cliente. Ejemplo  cliente 10014924 Comercial Aldima. Juntar todo en un documento"/>
    <m/>
    <m/>
    <s v="Baja"/>
    <s v="/"/>
    <s v="S4/hana"/>
    <s v="RMB"/>
    <x v="6"/>
    <d v="2025-09-30T00:00:00"/>
    <d v="2025-10-07T00:00:00"/>
    <d v="2025-10-07T00:00:00"/>
    <m/>
    <s v="ES"/>
    <m/>
    <m/>
    <s v="No"/>
    <s v="Proceso"/>
    <m/>
    <s v="N/A"/>
    <n v="0"/>
  </r>
  <r>
    <s v="MP-00416"/>
    <d v="2025-05-05T00:00:00"/>
    <m/>
    <s v="Liu Yalu"/>
    <x v="0"/>
    <s v="Incidencia"/>
    <x v="3"/>
    <s v="BLOQUE 5 – Soporte a operativa diaria SAP"/>
    <s v="El sistema debe permitir descargar las imágenes requeridas por los clientes. Paquetes de imágenes.  Descargar las imágenes de los productos vendidos desde la factura Ahora lo tienen en el maestro de producto por ejemplo PN331"/>
    <m/>
    <m/>
    <s v="Baja"/>
    <s v="/"/>
    <s v="S4/hana"/>
    <s v="RMB"/>
    <x v="6"/>
    <d v="2025-09-30T00:00:00"/>
    <d v="2025-10-07T00:00:00"/>
    <d v="2025-10-07T00:00:00"/>
    <m/>
    <s v="ES"/>
    <m/>
    <m/>
    <s v="No"/>
    <s v="Proceso"/>
    <m/>
    <s v="N/A"/>
    <n v="0"/>
  </r>
  <r>
    <s v="MP-0042"/>
    <d v="2025-05-05T00:00:00"/>
    <m/>
    <s v="Liu Yalu"/>
    <x v="0"/>
    <s v="Incidencia"/>
    <x v="3"/>
    <s v="BLOQUE 5 – Soporte a operativa diaria SAP"/>
    <s v="Centralización de información: • Datos del cliente: nombre y nº de cliente• Vendedor asignado• N de factura• Importe de las facturas de ese n de factura• Importe de pedido sin facturar• Importe y número de facturas sin marcar notificación realizadas• Importe de deudas vencidas (positivas o negativas)• Importe de devoluciones (facturadas/no facturadas separadas)• Forma de pago• Notas de cliente y nota de pedido: está en la pestaña de Campos libres y son campos Z• IMPORTE TOTAL : IMPORTE TODOS LOS FACTURA – ABONOS +/- VECIDOS (SI PODRIA ELEGIR PARA TENER RESULTADO ES MEJOR)Además, es necesario incluir dos opciones adicionales en formato de casilla de verificación:1. Notificación realizada(podría marcar masiva, marcar simple NO dentro de pedido) -y podría filtrar2. Pago recibido"/>
    <m/>
    <m/>
    <s v="Baja"/>
    <s v="/"/>
    <s v="S4/hana"/>
    <s v="RMB"/>
    <x v="6"/>
    <d v="2025-09-30T00:00:00"/>
    <d v="2025-10-07T00:00:00"/>
    <d v="2025-10-07T00:00:00"/>
    <m/>
    <s v="ES"/>
    <m/>
    <m/>
    <s v="No"/>
    <s v="Proceso"/>
    <m/>
    <s v="N/A"/>
    <n v="0"/>
  </r>
  <r>
    <s v="MP-0043"/>
    <d v="2025-05-05T00:00:00"/>
    <m/>
    <s v="Liu Yalu"/>
    <x v="0"/>
    <s v="Incidencia"/>
    <x v="3"/>
    <s v="BLOQUE 5 – Soporte a operativa diaria SAP"/>
    <s v="Descargar los formularios de forma masiva para un periodo de tiempo y ya lo guardan ellos en local"/>
    <m/>
    <m/>
    <s v="Baja"/>
    <s v="/"/>
    <s v="S4/hana"/>
    <s v="RMB"/>
    <x v="6"/>
    <d v="2025-09-30T00:00:00"/>
    <d v="2025-10-07T00:00:00"/>
    <d v="2025-10-07T00:00:00"/>
    <m/>
    <s v="ES"/>
    <m/>
    <m/>
    <s v="No"/>
    <s v="Proceso"/>
    <m/>
    <s v="N/A"/>
    <n v="0"/>
  </r>
  <r>
    <s v="MP-0044"/>
    <d v="2025-05-05T00:00:00"/>
    <m/>
    <s v="Liu Yalu"/>
    <x v="0"/>
    <s v="Incidencia"/>
    <x v="3"/>
    <s v="BLOQUE 5 – Soporte a operativa diaria SAP"/>
    <s v="Debe haber una sección que resuma todas las facturas, devoluciones y comprobantes registrados (revisados) en el departamento de finanzas. Las facturas son números positivos y las devoluciones, números negativos. Y mostrar el saldo vencido no liquidado de la cuenta del cliente. Hay información del pedido correspondiente, información del cliente, información del vendedor, fecha de factura. Marcar que ya se ha informado al cliente. Esta sección contiene todos los pedidos no Facturados"/>
    <m/>
    <m/>
    <s v="Baja"/>
    <s v="/"/>
    <s v="S4/hana"/>
    <s v="RMB"/>
    <x v="6"/>
    <d v="2025-09-30T00:00:00"/>
    <d v="2025-10-07T00:00:00"/>
    <d v="2025-10-07T00:00:00"/>
    <m/>
    <s v="ES"/>
    <m/>
    <m/>
    <s v="No"/>
    <s v="Proceso"/>
    <m/>
    <s v="N/A"/>
    <n v="0"/>
  </r>
  <r>
    <s v="MP-0045"/>
    <d v="2025-05-05T00:00:00"/>
    <m/>
    <s v="Liu Yalu"/>
    <x v="0"/>
    <s v="Incidencia"/>
    <x v="3"/>
    <s v="BLOQUE 5 – Soporte a operativa diaria SAP"/>
    <s v="Al crear la orden de devolución en SAP se identifica el último precio de venta, aunque sea por referencia ¿Puedo recibir un recordatorio cuando ingrese números de productos duplicados? El problema es que hacen devoluciones sin referencia y meten manualmente los productos a devolver, quieren que el sistema sepa el precio al que se vendió. "/>
    <m/>
    <m/>
    <s v="Baja"/>
    <s v="/"/>
    <s v="S4/hana"/>
    <s v="RMB"/>
    <x v="6"/>
    <d v="2025-09-30T00:00:00"/>
    <d v="2025-10-07T00:00:00"/>
    <d v="2025-10-07T00:00:00"/>
    <m/>
    <s v="ES"/>
    <m/>
    <m/>
    <s v="No"/>
    <s v="Proceso"/>
    <m/>
    <s v="N/A"/>
    <n v="0"/>
  </r>
  <r>
    <s v="MP-0046"/>
    <d v="2025-05-05T00:00:00"/>
    <m/>
    <s v="Liu Yalu"/>
    <x v="0"/>
    <s v="Incidencia"/>
    <x v="3"/>
    <s v="BLOQUE 5 – Soporte a operativa diaria SAP"/>
    <s v="Se necesitan diferentes bonos aplicados a diferentes referencias. Ofertas. Han creado como material un descuento"/>
    <m/>
    <m/>
    <s v="Baja"/>
    <s v="/"/>
    <s v="S4/hana"/>
    <s v="RMB"/>
    <x v="6"/>
    <d v="2025-09-30T00:00:00"/>
    <d v="2025-10-07T00:00:00"/>
    <d v="2025-10-07T00:00:00"/>
    <m/>
    <s v="ES"/>
    <m/>
    <m/>
    <s v="No"/>
    <s v="Proceso"/>
    <m/>
    <s v="N/A"/>
    <n v="0"/>
  </r>
  <r>
    <s v="MP-0047"/>
    <d v="2025-05-05T00:00:00"/>
    <m/>
    <s v="Liu Yalu"/>
    <x v="0"/>
    <s v="Incidencia"/>
    <x v="3"/>
    <s v="BLOQUE 5 – Soporte a operativa diaria SAP"/>
    <s v="Interco automático, por ejemplo, PV200000051 en PRD. Supervisar cadena de valor"/>
    <m/>
    <m/>
    <s v="Baja"/>
    <s v="/"/>
    <s v="S4/hana"/>
    <s v="RMB"/>
    <x v="6"/>
    <d v="2025-09-30T00:00:00"/>
    <d v="2025-10-07T00:00:00"/>
    <d v="2025-10-07T00:00:00"/>
    <m/>
    <s v="ES"/>
    <m/>
    <m/>
    <s v="No"/>
    <s v="Proceso"/>
    <m/>
    <s v="N/A"/>
    <n v="0"/>
  </r>
  <r>
    <s v="MP-0048"/>
    <d v="2025-05-05T00:00:00"/>
    <m/>
    <s v="Ana"/>
    <x v="0"/>
    <s v="Petición"/>
    <x v="1"/>
    <s v="BLOQUE 5 – Soporte a operativa diaria SAP"/>
    <s v="Petición INTRASTAT.Hemos punteado el intrastat de facturas emitidas del mes de mayo antes de su presentación. El informe de intrastat en SAP no sale completo en relación al listado de facturas intracomunitarias que hemos sacado filtrando por indicador de IVA (Indicador 00 entrega intracomunit de bienes)._x000a__x000a_Hemos observado, como dato, que las facturas que faltan en el informe son abonos o facturas con tipo de asiento contable RV. Por si tuviera algo qué ver._x000a__x000a_ _x000a__x000a_Os adjunto en Excel el informe que sale de intrastat para su presentación, el listado de facturas intracomunitarias y el listado de las facturas intracomunitarias que no están incluidas en el informe de INTRASTAT._x000a__x000a_Por favor, decidme lo antes posible cómo podemos incluir esas facturas en el informe para poder hacer la presentación del mes de Mayo lo antes posible. Se supone que hoy es el último día._x000a__x000a_ _x000a__x000a_En algún momento hay que hacer lo mismo con las presentaciones de DE ENERO A ABRIL porque entiendo que habrá ocurrido lo mismo._x000a__x000a_ "/>
    <m/>
    <m/>
    <s v="Baja"/>
    <s v="12/06/2025 Se abre la incidencia con carácter urgente"/>
    <s v="S4/hana"/>
    <s v="LCC"/>
    <x v="8"/>
    <d v="2025-06-30T00:00:00"/>
    <d v="2025-07-07T00:00:00"/>
    <d v="2025-07-07T00:00:00"/>
    <m/>
    <s v="ES"/>
    <m/>
    <m/>
    <s v="No"/>
    <s v="Proceso"/>
    <m/>
    <s v="N/A"/>
    <n v="0"/>
  </r>
  <r>
    <s v="MP-00481"/>
    <d v="2025-06-13T00:00:00"/>
    <m/>
    <s v="Ana"/>
    <x v="0"/>
    <s v="Petición"/>
    <x v="1"/>
    <s v="BLOQUE 5 – Soporte a operativa diaria SAP"/>
    <s v="Verificar que las ejecuciones en el pasado se han enviado correctamente o hay algo que faltaba también - MP -Ana/Felipe"/>
    <m/>
    <m/>
    <s v="Media"/>
    <s v="13/06/2025 Verificar que las ejecuciones en el pasado se han enviado correctamente o hay algo que faltaba también - MP -Ana/Felipe"/>
    <m/>
    <s v="LCC"/>
    <x v="8"/>
    <d v="2025-06-30T00:00:00"/>
    <d v="2025-07-07T00:00:00"/>
    <d v="2025-07-07T00:00:00"/>
    <m/>
    <s v="ES"/>
    <m/>
    <m/>
    <m/>
    <m/>
    <m/>
    <s v="N/A"/>
    <n v="0"/>
  </r>
  <r>
    <s v="MP-00482"/>
    <d v="2025-06-13T00:00:00"/>
    <m/>
    <s v="Ana"/>
    <x v="0"/>
    <s v="Petición"/>
    <x v="1"/>
    <s v="BLOQUE 5 – Soporte a operativa diaria SAP"/>
    <s v="Confirmar si - Altim @Leandro Cano Contreras y @Ricardo Metola Bouzo, en este aspecto por parte de MP @Liu Yalu tienes que priorizarlo y verificar si los procesos realizados son correctos con Altim."/>
    <m/>
    <m/>
    <s v="Media"/>
    <s v="13/06/2025 Confirmar si - Altim @Leandro Cano Contreras y @Ricardo Metola Bouzo, en este aspecto por parte de MP @Liu Yalu tienes que priorizarlo y verificar si los procesos realizados son correctos con Altim."/>
    <m/>
    <s v="LCC"/>
    <x v="8"/>
    <d v="2025-06-30T00:00:00"/>
    <d v="2025-07-07T00:00:00"/>
    <d v="2025-07-07T00:00:00"/>
    <m/>
    <s v="ES"/>
    <m/>
    <m/>
    <m/>
    <m/>
    <m/>
    <s v="N/A"/>
    <n v="0"/>
  </r>
  <r>
    <s v="MP-0049"/>
    <d v="2025-05-05T00:00:00"/>
    <m/>
    <s v="Liu Yalu"/>
    <x v="0"/>
    <s v="Incidencia"/>
    <x v="3"/>
    <s v="BLOQUE 5 – Soporte a operativa diaria SAP"/>
    <s v="No hay abono ni factura rectificativa de Portugal"/>
    <m/>
    <m/>
    <s v="Alta"/>
    <s v="Se ha realizado pruebas con los usuarios. Se abren nuevas incidencias con los flecos que quedan."/>
    <s v="S4/hana"/>
    <s v="LCC"/>
    <x v="7"/>
    <d v="2025-06-20T00:00:00"/>
    <d v="2025-06-27T00:00:00"/>
    <d v="2025-05-26T00:00:00"/>
    <m/>
    <s v="PT"/>
    <m/>
    <m/>
    <s v="No"/>
    <s v="Proceso"/>
    <m/>
    <s v="N/A"/>
    <n v="6"/>
  </r>
  <r>
    <s v="MP-00491"/>
    <d v="2025-05-30T00:00:00"/>
    <m/>
    <s v="Lu WANG"/>
    <x v="1"/>
    <s v="Incidencia"/>
    <x v="3"/>
    <s v="BLOQUE 5 – Soporte a operativa diaria SAP"/>
    <s v="MP-0049: Impresión inmediata de factura. Seleccionar formulario automáticamente"/>
    <m/>
    <m/>
    <s v="Media"/>
    <m/>
    <m/>
    <s v="RMB"/>
    <x v="8"/>
    <m/>
    <m/>
    <m/>
    <m/>
    <s v="ES"/>
    <m/>
    <m/>
    <m/>
    <m/>
    <m/>
    <s v="N/A"/>
    <n v="1"/>
  </r>
  <r>
    <s v="MP-00495"/>
    <d v="2025-05-30T00:00:00"/>
    <m/>
    <s v="Lu WANG"/>
    <x v="1"/>
    <s v="Incidencia"/>
    <x v="3"/>
    <s v="BLOQUE 5 – Soporte a operativa diaria SAP"/>
    <s v="MP-0010: Asignaciones de cuentas para devoluciones Portugal"/>
    <m/>
    <m/>
    <s v="Alta"/>
    <s v="Revisar con toda la VKOA._x000a_Bloqueadas cuentas y cambiadas en la determiancion automatica de cuentas"/>
    <m/>
    <s v="M.A"/>
    <x v="2"/>
    <d v="2025-07-20T00:00:00"/>
    <d v="2025-06-14T00:00:00"/>
    <d v="2025-06-07T00:00:00"/>
    <m/>
    <s v="PT"/>
    <m/>
    <m/>
    <m/>
    <m/>
    <m/>
    <s v="N/A"/>
    <n v="9"/>
  </r>
  <r>
    <s v="MP-0050"/>
    <d v="2025-05-05T00:00:00"/>
    <m/>
    <s v="Liu Yalu"/>
    <x v="0"/>
    <s v="Incidencia"/>
    <x v="3"/>
    <s v="BLOQUE 5 – Soporte a operativa diaria SAP"/>
    <s v="Que aparezca en el formulario de Factura de Venta el código de Barras"/>
    <m/>
    <m/>
    <s v="Baja"/>
    <s v="/"/>
    <s v="S4/hana"/>
    <s v="RMB"/>
    <x v="6"/>
    <d v="2025-09-30T00:00:00"/>
    <d v="2025-10-07T00:00:00"/>
    <d v="2025-10-07T00:00:00"/>
    <m/>
    <s v="ES"/>
    <m/>
    <m/>
    <s v="No"/>
    <s v="Proceso"/>
    <m/>
    <s v="N/A"/>
    <n v="0"/>
  </r>
  <r>
    <s v="MP-0051"/>
    <d v="2025-05-05T00:00:00"/>
    <m/>
    <s v="Liu Yalu"/>
    <x v="0"/>
    <s v="Incidencia"/>
    <x v="3"/>
    <s v="BLOQUE 5 – Soporte a operativa diaria SAP"/>
    <s v="Errores con transacción VF04"/>
    <m/>
    <m/>
    <s v="Baja"/>
    <s v="/"/>
    <s v="S4/hana"/>
    <s v="RMB"/>
    <x v="9"/>
    <d v="2025-09-30T00:00:00"/>
    <d v="2025-10-07T00:00:00"/>
    <d v="2025-10-07T00:00:00"/>
    <m/>
    <s v="ES"/>
    <m/>
    <m/>
    <s v="No"/>
    <s v="Proceso"/>
    <m/>
    <s v="N/A"/>
    <n v="0"/>
  </r>
  <r>
    <s v="MP-0052"/>
    <d v="2025-05-05T00:00:00"/>
    <m/>
    <s v="Liu Yalu"/>
    <x v="0"/>
    <s v="Incidencia"/>
    <x v="3"/>
    <s v="BLOQUE 5 – Soporte a operativa diaria SAP"/>
    <s v="Revisión del flujo de compras, sobre todo en el caso de la compra a su proveedor NINGBO, que es su fábrica en China"/>
    <m/>
    <m/>
    <s v="Baja"/>
    <s v="/"/>
    <s v="S4/hana"/>
    <s v="RMB"/>
    <x v="6"/>
    <d v="2025-09-30T00:00:00"/>
    <d v="2025-10-07T00:00:00"/>
    <d v="2025-10-07T00:00:00"/>
    <m/>
    <s v="ES"/>
    <m/>
    <m/>
    <s v="No"/>
    <s v="Proceso"/>
    <m/>
    <s v="N/A"/>
    <n v="0"/>
  </r>
  <r>
    <s v="MP-0053"/>
    <d v="2025-05-05T00:00:00"/>
    <m/>
    <s v="Liu Yalu"/>
    <x v="0"/>
    <s v="Incidencia"/>
    <x v="1"/>
    <s v="BLOQUE 5 – Soporte a operativa diaria SAP"/>
    <s v="Pedidos NINGBO"/>
    <m/>
    <m/>
    <s v="Baja"/>
    <s v="/"/>
    <s v="S4/hana"/>
    <s v="LCC"/>
    <x v="6"/>
    <d v="2025-09-30T00:00:00"/>
    <d v="2025-10-07T00:00:00"/>
    <d v="2025-10-07T00:00:00"/>
    <m/>
    <s v="ES"/>
    <m/>
    <m/>
    <s v="No"/>
    <s v="Proceso"/>
    <m/>
    <s v="N/A"/>
    <n v="0"/>
  </r>
  <r>
    <s v="MP-0054"/>
    <d v="2025-05-05T00:00:00"/>
    <m/>
    <s v="Liu Yalu"/>
    <x v="0"/>
    <s v="Incidencia"/>
    <x v="1"/>
    <s v="BLOQUE 6 – SGA"/>
    <s v="Problemas con Subcontratación Expositores"/>
    <m/>
    <s v="El Flujo esta montado en Test"/>
    <s v="Alta"/>
    <s v="Cuando un cliente compra un expositor es el proceso mas urgente, el expositor es una nueva referencia que contiene 100 PP._x000a_- Se monta expositor._x000a_- Se entregan los productos para ser vendidos. MP enviará un manual._x000a_Hasy 3 procesos:_x000a_1. Producto se recibre creado (referencia a MP0055_x000a_2.Subcontratación con salida y entrada_x000a_3.Subcontratación con salida._x000a_06/05/2025 MA:_x000a_- Verificando el proceso entre MP y Altim para planificar la fecha de entrega_x000a_De estos 3 procesos se han probado en calidad pero no estan en producción._x000a_Con Yan Lu_x000a_- Peticion de usuario SGA._x000a_12/05/2025 MP Identifica que esto es bastante importante si podemos agilizar la resolución. Workshops entre Li y Leandro para agilizar la resolución_x000a_19/05/2025 pendiente de que Altim pueda enseñar a MP donde estan identificados los errores_x000a_22/05/2025 No se puede seguir el flujo porque no hay conexion con SGA/Se para por priorizar decoluciones de Portugal"/>
    <s v="S4/hana"/>
    <s v="LCC"/>
    <x v="1"/>
    <d v="2025-09-30T00:00:00"/>
    <d v="2025-10-07T00:00:00"/>
    <d v="2025-10-07T00:00:00"/>
    <m/>
    <s v="PT"/>
    <m/>
    <m/>
    <s v="No"/>
    <s v="Proceso"/>
    <n v="1"/>
    <s v="N/A"/>
    <n v="17"/>
  </r>
  <r>
    <s v="MP-0055"/>
    <d v="2025-05-05T00:00:00"/>
    <m/>
    <s v="Liu Yalu"/>
    <x v="0"/>
    <s v="Incidencia"/>
    <x v="1"/>
    <s v="BLOQUE 5 – Soporte a operativa diaria SAP"/>
    <s v="Problemas con la Manipulación INTERNA de productos (PRODUCCIÓN)"/>
    <m/>
    <m/>
    <s v="Alta"/>
    <s v="Manipulación , comentario de la línea anterior._x000a_Compra de MMPP_x000a_Se envia para Fabricación_x000a_El proveedor devuelve un PP terminado._x000a_No se puede realizar la recepción en el Almacen._x000a_Con Yan Lu_x000a_19/05/2025 Todavia no se ha priorizado/ Problemas con SGA. Flujo estándar simulando SGA funciona"/>
    <s v="S4/hana"/>
    <s v="LCC"/>
    <x v="0"/>
    <d v="2025-07-15T00:00:00"/>
    <d v="2025-07-22T00:00:00"/>
    <d v="2025-07-22T00:00:00"/>
    <m/>
    <s v="ES"/>
    <m/>
    <m/>
    <s v="No"/>
    <s v="Proceso"/>
    <n v="2"/>
    <s v="N/A"/>
    <n v="31.5"/>
  </r>
  <r>
    <s v="MP-00551"/>
    <d v="2025-05-14T00:00:00"/>
    <m/>
    <s v="Liu Yalu"/>
    <x v="1"/>
    <s v="Incidencia"/>
    <x v="1"/>
    <s v="BLOQUE 5 – Soporte a operativa diaria SAP"/>
    <s v="Manipulación  (Carrefour) (Pendiente por despachar)"/>
    <m/>
    <m/>
    <s v="Media"/>
    <s v="21/05/2025 Corregido en SAP y enseñar a los usuarios al proceso, crear DM, OC, Pedidos_x000a_26/05/2025 Se recuerda al usuario que /Se cierra"/>
    <s v="S4/hana"/>
    <s v="LCC"/>
    <x v="0"/>
    <d v="2025-06-22T00:00:00"/>
    <d v="2025-06-29T00:00:00"/>
    <d v="2025-06-29T00:00:00"/>
    <m/>
    <s v="ES"/>
    <d v="2025-06-22T00:00:00"/>
    <m/>
    <m/>
    <m/>
    <m/>
    <s v="N/A"/>
    <n v="4.5"/>
  </r>
  <r>
    <s v="MP-0056"/>
    <d v="2025-05-05T00:00:00"/>
    <m/>
    <s v="Liu Yalu"/>
    <x v="0"/>
    <s v="Incidencia"/>
    <x v="1"/>
    <s v="BLOQUE 5 – Soporte a operativa diaria SAP"/>
    <s v="Problema entre Excel y SAP. Hay pedidos de 600 líneas y no consiguen pegar todos."/>
    <m/>
    <m/>
    <s v="Baja"/>
    <s v="/"/>
    <s v="S4/hana"/>
    <s v="LCC"/>
    <x v="6"/>
    <d v="2025-09-30T00:00:00"/>
    <d v="2025-10-07T00:00:00"/>
    <d v="2025-10-07T00:00:00"/>
    <m/>
    <s v="ES"/>
    <m/>
    <m/>
    <s v="No"/>
    <s v="Proceso"/>
    <m/>
    <s v="N/A"/>
    <n v="0"/>
  </r>
  <r>
    <s v="MP-0057"/>
    <d v="2025-05-05T00:00:00"/>
    <m/>
    <s v="Liu Yalu"/>
    <x v="0"/>
    <s v="Incidencia"/>
    <x v="1"/>
    <s v="BLOQUE 5 – Soporte a operativa diaria SAP"/>
    <s v="Quieren que, con NINGBO, mande lo manual cuando pegan en el pedido desde el Excel; con otros proveedores, que se mantenga el Registro Info"/>
    <m/>
    <m/>
    <s v="Baja"/>
    <s v="/"/>
    <s v="S4/hana"/>
    <s v="LCC"/>
    <x v="6"/>
    <d v="2025-09-30T00:00:00"/>
    <d v="2025-10-07T00:00:00"/>
    <d v="2025-10-07T00:00:00"/>
    <m/>
    <s v="ES"/>
    <m/>
    <m/>
    <s v="No"/>
    <s v="Proceso"/>
    <m/>
    <s v="N/A"/>
    <n v="0"/>
  </r>
  <r>
    <s v="MP-0058"/>
    <d v="2025-05-05T00:00:00"/>
    <m/>
    <s v="Liu Yalu"/>
    <x v="0"/>
    <s v="Incidencia"/>
    <x v="1"/>
    <s v="BLOQUE 5 – Soporte a operativa diaria SAP"/>
    <s v="Lentitud del funcionamiento del sistema: a la hora de bajar el scroll para revisar una posición del pedido"/>
    <m/>
    <m/>
    <s v="Baja"/>
    <s v="/"/>
    <s v="S4/hana"/>
    <s v="LCC"/>
    <x v="3"/>
    <d v="2025-07-03T00:00:00"/>
    <d v="2025-07-10T00:00:00"/>
    <d v="2025-07-10T00:00:00"/>
    <m/>
    <s v="ES"/>
    <m/>
    <m/>
    <s v="No"/>
    <s v="Proceso"/>
    <m/>
    <s v="N/A"/>
    <n v="0"/>
  </r>
  <r>
    <s v="MP-0059"/>
    <d v="2025-05-05T00:00:00"/>
    <m/>
    <s v="Liu Yalu"/>
    <x v="0"/>
    <s v="Incidencia"/>
    <x v="1"/>
    <s v="BLOQUE 5 – Soporte a operativa diaria SAP"/>
    <s v="Ver la cantidad pendiente a la hora de hacer el pedido de compra, cuando vienen de un contrato, en la ME21N. Si el contrato está agotado, que no aparezca"/>
    <m/>
    <m/>
    <s v="Baja"/>
    <s v="/"/>
    <s v="S4/hana"/>
    <s v="LCC"/>
    <x v="6"/>
    <d v="2025-09-30T00:00:00"/>
    <d v="2025-10-07T00:00:00"/>
    <d v="2025-10-07T00:00:00"/>
    <m/>
    <s v="ES"/>
    <m/>
    <m/>
    <s v="No"/>
    <s v="Proceso"/>
    <m/>
    <s v="N/A"/>
    <n v="0"/>
  </r>
  <r>
    <s v="MP-0060"/>
    <d v="2025-05-05T00:00:00"/>
    <m/>
    <s v="Liu Yalu"/>
    <x v="0"/>
    <s v="Incidencia"/>
    <x v="1"/>
    <s v="BLOQUE 5 – Soporte a operativa diaria SAP"/>
    <s v="Problema con las Listas de materiales y SGA"/>
    <m/>
    <m/>
    <s v="Baja"/>
    <s v="/"/>
    <s v="S4/hana"/>
    <s v="LCC"/>
    <x v="6"/>
    <d v="2025-09-30T00:00:00"/>
    <d v="2025-10-07T00:00:00"/>
    <d v="2025-10-07T00:00:00"/>
    <m/>
    <s v="ES"/>
    <m/>
    <m/>
    <s v="No"/>
    <s v="Proceso"/>
    <m/>
    <s v="N/A"/>
    <n v="0"/>
  </r>
  <r>
    <s v="MP-0061"/>
    <d v="2025-05-14T00:00:00"/>
    <m/>
    <s v="Lu WANG"/>
    <x v="1"/>
    <s v="Incidencia"/>
    <x v="3"/>
    <s v="BLOQUE 5 – Soporte a operativa diaria SAP"/>
    <s v="Facturas emitidas con producto sin centro de beneficio asignado"/>
    <m/>
    <m/>
    <s v="Alta"/>
    <s v="14/05/2025 se recibe 3 facturas que no se pueden contabilizar por cebe inexistente_x000a_20/05/2025 Revisada , hay ue anular llegar al pedido y volver hacer todo./Cerrada_x000a_29/05/2025 Contactar con Isabel_x000a_04/06/2025 Se contacta con MP_x000a_16/06/2025 Se prepara un workshop para hacerlo con la usuaria"/>
    <s v="S4/hana"/>
    <s v="AHY"/>
    <x v="0"/>
    <d v="2025-09-30T00:00:00"/>
    <d v="2025-06-18T00:00:00"/>
    <d v="2025-06-18T00:00:00"/>
    <m/>
    <s v="ES"/>
    <d v="2025-06-19T00:00:00"/>
    <s v="Sin retraso"/>
    <m/>
    <m/>
    <m/>
    <s v="N/A"/>
    <n v="13.5"/>
  </r>
  <r>
    <s v="MP-00611"/>
    <d v="2025-05-21T00:00:00"/>
    <m/>
    <s v="Lu WANG"/>
    <x v="1"/>
    <s v="Evolutivo"/>
    <x v="1"/>
    <s v="BLOQUE 5 – Soporte a operativa diaria SAP"/>
    <s v="Facturas emitidas con producto sin centro de beneficio asignado/ Aplcar a los DM que se ponga obligatorio el CEBE. Extracción de los materiales."/>
    <m/>
    <m/>
    <s v="Media"/>
    <s v="21/05/2025 Se abre como medida preventiva para que no pase mas._x000a_22/05/2025 Pendiente de verificación si es posible en Cloud._x000a_                       Extraccion de listado de materiales  y su CeBe_x000a_26/05/2025 En el centro de españa todos los materiales estan informados con su cebe/Entregado pendiente de confirmación para cierre_x000a_29/05/2025 Abrir linea con posibilidades "/>
    <s v="S4/hana"/>
    <s v="M.A"/>
    <x v="0"/>
    <d v="2025-06-19T00:00:00"/>
    <d v="2025-10-07T00:00:00"/>
    <d v="2025-10-07T00:00:00"/>
    <m/>
    <s v="ES"/>
    <d v="2025-07-03T00:00:00"/>
    <m/>
    <m/>
    <s v="N/A"/>
    <m/>
    <s v="N/A"/>
    <n v="1"/>
  </r>
  <r>
    <s v="MP-0062"/>
    <d v="2025-05-05T00:00:00"/>
    <m/>
    <s v="Liu Yalu"/>
    <x v="0"/>
    <s v="Incidencia"/>
    <x v="1"/>
    <s v="BLOQUE 5 – Soporte a operativa diaria SAP"/>
    <s v="Creación y asignación automática en SAP del código de Barras. Ahora lo hacen con un excel. Ej PE489 Unidades de medida"/>
    <m/>
    <m/>
    <s v="Baja"/>
    <s v="/"/>
    <s v="S4/hana"/>
    <s v="LCC"/>
    <x v="6"/>
    <d v="2025-09-30T00:00:00"/>
    <d v="2025-10-07T00:00:00"/>
    <d v="2025-10-07T00:00:00"/>
    <m/>
    <s v="ES"/>
    <m/>
    <m/>
    <s v="No"/>
    <s v="Proceso"/>
    <m/>
    <s v="N/A"/>
    <n v="0"/>
  </r>
  <r>
    <s v="MP-0063"/>
    <d v="2025-05-05T00:00:00"/>
    <m/>
    <s v="Liu Yalu"/>
    <x v="0"/>
    <s v="Incidencia"/>
    <x v="3"/>
    <s v="BLOQUE 5 – Soporte a operativa diaria SAP"/>
    <s v="Revisión de las condiciones de precio de venta;  Tarifas"/>
    <m/>
    <m/>
    <s v="Baja"/>
    <s v="/"/>
    <s v="S4/hana"/>
    <s v="RMB"/>
    <x v="6"/>
    <d v="2025-09-30T00:00:00"/>
    <d v="2025-10-07T00:00:00"/>
    <d v="2025-10-07T00:00:00"/>
    <m/>
    <s v="ES"/>
    <m/>
    <m/>
    <s v="No"/>
    <s v="Proceso"/>
    <m/>
    <s v="N/A"/>
    <n v="0"/>
  </r>
  <r>
    <s v="MP-0064"/>
    <d v="2025-05-05T00:00:00"/>
    <m/>
    <s v="Liu Yalu"/>
    <x v="0"/>
    <s v="Incidencia"/>
    <x v="1"/>
    <s v="BLOQUE 5 – Soporte a operativa diaria SAP"/>
    <s v="Problema con los Expositores:  en SAP Lista de material y quieren ver el stock de la lista de material y el precio por ejemplo 75074NDSC"/>
    <m/>
    <m/>
    <s v="Baja"/>
    <s v="/"/>
    <s v="S4/hana"/>
    <s v="LCC"/>
    <x v="6"/>
    <d v="2025-09-30T00:00:00"/>
    <d v="2025-10-07T00:00:00"/>
    <d v="2025-10-07T00:00:00"/>
    <m/>
    <s v="ES"/>
    <m/>
    <m/>
    <s v="No"/>
    <s v="Proceso"/>
    <m/>
    <s v="N/A"/>
    <n v="0"/>
  </r>
  <r>
    <s v="MP-0065"/>
    <d v="2025-05-05T00:00:00"/>
    <m/>
    <s v="Liu Yalu"/>
    <x v="0"/>
    <s v="Incidencia"/>
    <x v="1"/>
    <s v="BLOQUE 5 – Soporte a operativa diaria SAP"/>
    <s v="Todo tipo de certificados, MSDS, formularios de información del producto se puede poner en la lista de productos correspondientes para facilitar la extracción"/>
    <m/>
    <m/>
    <s v="Baja"/>
    <s v="/"/>
    <s v="S4/hana"/>
    <s v="LCC"/>
    <x v="6"/>
    <d v="2025-09-30T00:00:00"/>
    <d v="2025-10-07T00:00:00"/>
    <d v="2025-10-07T00:00:00"/>
    <m/>
    <s v="ES"/>
    <m/>
    <m/>
    <s v="No"/>
    <s v="Proceso"/>
    <m/>
    <s v="N/A"/>
    <n v="0"/>
  </r>
  <r>
    <s v="MP-0066"/>
    <d v="2025-05-05T00:00:00"/>
    <m/>
    <s v="Liu Yalu"/>
    <x v="0"/>
    <s v="Incidencia"/>
    <x v="1"/>
    <s v="BLOQUE 5 – Soporte a operativa diaria SAP"/>
    <s v="Formulario de pedido: que la Nota interna que está en la pestaña del Dato maestro del material, se muestre en el idioma del proveedor. Mostrar los códigos Ean en el formulario.( Ahora estan en nota Interna)"/>
    <m/>
    <m/>
    <s v="Baja"/>
    <s v="EL EAN sale en los formularios tratados"/>
    <s v="S4/hana"/>
    <s v="LCC"/>
    <x v="0"/>
    <d v="2025-07-03T00:00:00"/>
    <d v="2025-07-10T00:00:00"/>
    <d v="2025-07-10T00:00:00"/>
    <m/>
    <s v="ES"/>
    <d v="2025-07-03T00:00:00"/>
    <m/>
    <s v="No"/>
    <s v="Proceso"/>
    <m/>
    <s v="N/A"/>
    <n v="0"/>
  </r>
  <r>
    <s v="MP-0067"/>
    <d v="2025-05-05T00:00:00"/>
    <m/>
    <s v="Liu Yalu"/>
    <x v="0"/>
    <s v="Incidencia"/>
    <x v="1"/>
    <s v="BLOQUE 5 – Soporte a operativa diaria SAP"/>
    <s v="Configuración almacén E04"/>
    <m/>
    <m/>
    <s v="Baja"/>
    <s v="/"/>
    <s v="S4/hana"/>
    <s v="LCC"/>
    <x v="6"/>
    <d v="2025-09-30T00:00:00"/>
    <d v="2025-10-07T00:00:00"/>
    <d v="2025-10-07T00:00:00"/>
    <m/>
    <s v="ES"/>
    <m/>
    <m/>
    <s v="No"/>
    <s v="Proceso"/>
    <m/>
    <s v="N/A"/>
    <n v="0"/>
  </r>
  <r>
    <s v="MP-0068"/>
    <d v="2025-05-05T00:00:00"/>
    <m/>
    <s v="Liu Yalu"/>
    <x v="0"/>
    <s v="Incidencia"/>
    <x v="1"/>
    <s v="BLOQUE 5 – Soporte a operativa diaria SAP"/>
    <s v="Revisión fechas condiciones precio"/>
    <m/>
    <m/>
    <s v="Baja"/>
    <s v="/"/>
    <s v="S4/hana"/>
    <s v="LCC"/>
    <x v="6"/>
    <d v="2025-09-30T00:00:00"/>
    <d v="2025-10-07T00:00:00"/>
    <d v="2025-10-07T00:00:00"/>
    <m/>
    <s v="ES"/>
    <m/>
    <m/>
    <s v="No"/>
    <s v="Proceso"/>
    <m/>
    <s v="N/A"/>
    <n v="0"/>
  </r>
  <r>
    <s v="MP-0069"/>
    <d v="2025-05-05T00:00:00"/>
    <m/>
    <s v="Liu Yalu"/>
    <x v="0"/>
    <s v="Incidencia"/>
    <x v="1"/>
    <s v="BLOQUE 5 – Soporte a operativa diaria SAP"/>
    <s v="Ranking de productos vendidos. Para el ranking hay una lógica que ellos tienen y nos tendría que contar"/>
    <m/>
    <m/>
    <s v="Baja"/>
    <s v="/"/>
    <s v="S4/hana"/>
    <s v="LCC"/>
    <x v="6"/>
    <d v="2025-09-30T00:00:00"/>
    <d v="2025-10-07T00:00:00"/>
    <d v="2025-10-07T00:00:00"/>
    <m/>
    <s v="ES"/>
    <m/>
    <m/>
    <s v="No"/>
    <s v="Proceso"/>
    <m/>
    <s v="N/A"/>
    <n v="0"/>
  </r>
  <r>
    <s v="MP-0070"/>
    <d v="2025-05-05T00:00:00"/>
    <m/>
    <s v="Liu Yalu"/>
    <x v="0"/>
    <s v="Incidencia"/>
    <x v="1"/>
    <s v="BLOQUE 5 – Soporte a operativa diaria SAP"/>
    <s v="Cambio en la clasificación de un producto. Falta de manejo del sistema"/>
    <m/>
    <m/>
    <s v="Baja"/>
    <s v="/"/>
    <s v="S4/hana"/>
    <s v="LCC"/>
    <x v="6"/>
    <d v="2025-09-30T00:00:00"/>
    <d v="2025-10-07T00:00:00"/>
    <d v="2025-10-07T00:00:00"/>
    <m/>
    <s v="ES"/>
    <m/>
    <m/>
    <s v="No"/>
    <s v="Proceso"/>
    <m/>
    <s v="N/A"/>
    <n v="0"/>
  </r>
  <r>
    <s v="MP-0071"/>
    <d v="2025-05-05T00:00:00"/>
    <m/>
    <s v="Liu Yalu"/>
    <x v="0"/>
    <s v="Incidencia"/>
    <x v="1"/>
    <s v="BLOQUE 5 – Soporte a operativa diaria SAP"/>
    <s v="Rangos en pedidos de compra"/>
    <m/>
    <m/>
    <s v="Baja"/>
    <s v="26/05/2026 falta confirmar requerimientos/"/>
    <s v="S4/hana"/>
    <s v="LCC"/>
    <x v="6"/>
    <d v="2025-09-30T00:00:00"/>
    <d v="2025-10-07T00:00:00"/>
    <d v="2025-10-07T00:00:00"/>
    <m/>
    <s v="ES"/>
    <m/>
    <m/>
    <s v="No"/>
    <s v="Proceso"/>
    <m/>
    <s v="N/A"/>
    <n v="2.5"/>
  </r>
  <r>
    <s v="MP-0072"/>
    <d v="2025-05-05T00:00:00"/>
    <m/>
    <s v="Liu Yalu"/>
    <x v="0"/>
    <s v="Incidencia"/>
    <x v="1"/>
    <s v="BLOQUE 5 – Soporte a operativa diaria SAP"/>
    <s v="Problemas con Subcontratación - Resto"/>
    <m/>
    <m/>
    <s v="Baja"/>
    <s v="/"/>
    <s v="S4/hana"/>
    <s v="LCC"/>
    <x v="6"/>
    <d v="2025-09-30T00:00:00"/>
    <d v="2025-10-07T00:00:00"/>
    <d v="2025-10-07T00:00:00"/>
    <m/>
    <s v="ES"/>
    <m/>
    <m/>
    <s v="No"/>
    <s v="Proceso"/>
    <m/>
    <s v="N/A"/>
    <n v="0"/>
  </r>
  <r>
    <s v="MP-0073"/>
    <d v="2025-05-07T00:00:00"/>
    <s v="Ana"/>
    <s v="Susana, Ana"/>
    <x v="2"/>
    <s v="Consulta"/>
    <x v="0"/>
    <s v="BLOQUE 5 – Soporte a operativa diaria SAP"/>
    <s v="Indicador soportado. 3x"/>
    <m/>
    <m/>
    <s v="Alta"/>
    <s v="11/06/2025 Indicador soportado. 3x hay facturas con este indicador que no sube al SII"/>
    <s v="S4/hana"/>
    <s v="AHY"/>
    <x v="0"/>
    <d v="2025-06-30T00:00:00"/>
    <d v="2025-07-07T00:00:00"/>
    <d v="2025-07-07T00:00:00"/>
    <m/>
    <s v="ES"/>
    <d v="2025-06-30T00:00:00"/>
    <s v="Sin retraso"/>
    <m/>
    <s v="Usuario"/>
    <m/>
    <s v="N/A"/>
    <n v="9.5"/>
  </r>
  <r>
    <s v="MP-0074"/>
    <d v="2025-05-07T00:00:00"/>
    <s v="Susana"/>
    <s v="Isabel"/>
    <x v="0"/>
    <s v="Incidencia"/>
    <x v="3"/>
    <s v="BLOQUE 5 – Soporte a operativa diaria SAP"/>
    <s v="INCIDENCIA en las facturas de Ventas no suben al SII, ERROR 1219"/>
    <m/>
    <m/>
    <s v="Alta"/>
    <s v="08/05/2025 La solución hacer factura rectificativa, anular alabaran y modificar pedido. _x000a_El origen es el DM incorrrecto y ya se ha solucionado_x000a_12/05/2025 Error al contabilizar una factura, se contabiliza con IVA incorrecto por error en el origen del dato maestro del material._x000a_Se corrige el material._x000a_El proceso a realizar para corregir la contabilidad es anular factura, salida y modificar el pedido para volver a realizar la salida de mercancías correcta y la factura del pedido._x000a_/Solucionada"/>
    <s v="S4/hana"/>
    <s v="AHY"/>
    <x v="0"/>
    <d v="2025-05-12T00:00:00"/>
    <d v="2025-05-19T00:00:00"/>
    <d v="2025-05-19T00:00:00"/>
    <m/>
    <s v="ES"/>
    <d v="2025-05-19T00:00:00"/>
    <s v="Sin retraso"/>
    <m/>
    <s v="Usuario"/>
    <m/>
    <s v="N/A"/>
    <n v="5"/>
  </r>
  <r>
    <s v="MP-0075"/>
    <d v="2025-05-08T00:00:00"/>
    <s v="Susana, Ana"/>
    <s v="Isabel"/>
    <x v="0"/>
    <s v="Evolutivo"/>
    <x v="0"/>
    <s v="BLOQUE 5 – Soporte a operativa diaria SAP"/>
    <s v="COMPENSAR LAS CUENTAS 52010Configuración de cuenta contable"/>
    <s v=" 非进口类采购发票记账错误"/>
    <s v="Revisión de cuenta contable para compra no importación"/>
    <s v="Alta"/>
    <s v="08/05/2025 Confirmar con MP. _x000a_26/05/2025 Hay varias incidencias en las que tenemos que configurar cuenta de mayor y balance, si cuando se realizce no hay nada mas, se cierra y si no se gestione por esta incidencia./_x000a_29/05/2025 Se define como duplicada_x000a_10/06/2025 Se informa al usuario que esta parado por MP"/>
    <s v="S4/hana"/>
    <s v="M.A"/>
    <x v="1"/>
    <d v="2025-12-31T00:00:00"/>
    <d v="2026-01-02T00:00:00"/>
    <d v="2026-01-02T00:00:00"/>
    <m/>
    <s v="ES"/>
    <m/>
    <m/>
    <s v="No"/>
    <s v="Proceso"/>
    <m/>
    <s v="N/A"/>
    <n v="4"/>
  </r>
  <r>
    <s v="MP-0076"/>
    <d v="2025-05-08T00:00:00"/>
    <s v="Susana, Ana"/>
    <s v="Susana"/>
    <x v="0"/>
    <s v="Petición"/>
    <x v="3"/>
    <s v="BLOQUE 5 – Soporte a operativa diaria SAP"/>
    <s v="PONER EL INDICADOR DE IVA EN LA FICHA DEL CLIENTE."/>
    <s v=" 外协加工发票，在模拟会计分录时，系统将差额记入‘进口关税费用’科目，而实际上这是一个国内供应商。或海运费的科目。"/>
    <s v="Facturas de manipulación al simular el asiento resulta que el sistema pretende diferencias a la cuenta de gasto de aranceles de importación cuando se trata de un proveedor nacional. O a la cuenta de gasto de flete importación. "/>
    <s v="Alta"/>
    <s v="PONER EL INDICADOR DE IVA EN LA FICHA DEL CLIENTE."/>
    <s v="S4/hana"/>
    <s v="AHY"/>
    <x v="0"/>
    <d v="2025-06-30T00:00:00"/>
    <d v="2025-07-02T00:00:00"/>
    <d v="2025-07-02T00:00:00"/>
    <m/>
    <s v="ES"/>
    <d v="2025-06-26T00:00:00"/>
    <m/>
    <s v="No"/>
    <s v="Proceso"/>
    <m/>
    <s v="N/A"/>
    <n v="5"/>
  </r>
  <r>
    <s v="MP-0077"/>
    <d v="2025-05-08T00:00:00"/>
    <s v="Susana, Ana"/>
    <s v="Isabel"/>
    <x v="1"/>
    <s v="Evolutivo"/>
    <x v="3"/>
    <s v="BLOQUE 7 – Evolutivos y CRM"/>
    <s v="Realizar validación para que no te deje contabilizar la factura en otro momento , la factura se tiene que contabilizar en ese momento."/>
    <m/>
    <m/>
    <s v="Alta"/>
    <s v="08/05/2025 Hay que crear una sustitución  financiera donde la fecha de contabilización de una factura de venta se sustituya por hoy._x000a_Se solucionaria muchos errores._x000a_Si se deja vacio que te sustituya /_x000a_29/05/2025 Revisar la sustitucion en la app_x000a_03/06/2025 Se realiza una validación, se cambia fecha de entrega por priorizacion de otras incidencias_x000a_04/06/2025 se clasifica a O2C porque es una sustitución de facturas de ventas_x000a_05/06/025 Verificación Interna_x000a_11/06/025 Se verifica internamente si se puede hacer desde la factura"/>
    <s v="S4/hana"/>
    <s v="RMB"/>
    <x v="9"/>
    <d v="2025-07-17T00:00:00"/>
    <d v="2025-06-09T00:00:00"/>
    <s v="09/06/205"/>
    <m/>
    <s v="ES"/>
    <m/>
    <m/>
    <m/>
    <m/>
    <m/>
    <s v="Bajo"/>
    <n v="4"/>
  </r>
  <r>
    <s v="MP-0078"/>
    <d v="2025-05-08T00:00:00"/>
    <m/>
    <s v="Isabel"/>
    <x v="1"/>
    <s v="Petición"/>
    <x v="1"/>
    <s v="BLOQUE 3 – Correcciones y ajustes 2025"/>
    <s v="Se detectan que no hay saldo en la cuenta compras internacionales_x000a_"/>
    <m/>
    <m/>
    <s v="Alta"/>
    <s v="02/06/2025 No hay saldo en las cuentas de compras internacionales/Se identifica que es una cuenta que no tiene asignado ninguna categoria de valorcion en ningun material por lo tanto no se hacen pei_x000a_08/06/2025 Se decide cambiar en OBIK la 3100 para que apunte a 60000003. Sería necesario cambiar TODAS las categorías de Valoración de las MMPP._x000a_18/06/2025 - Está mal en el maestro de materiales la CAT de Valoración. Todo apunta a la 60000001"/>
    <s v="S4/hana"/>
    <s v="LCC"/>
    <x v="0"/>
    <d v="2026-06-18T00:00:00"/>
    <d v="2025-06-18T00:00:00"/>
    <d v="2026-06-25T00:00:00"/>
    <m/>
    <s v="ES"/>
    <m/>
    <m/>
    <m/>
    <m/>
    <m/>
    <s v="Bajo"/>
    <n v="1"/>
  </r>
  <r>
    <s v="MP-0079"/>
    <d v="2025-05-12T00:00:00"/>
    <m/>
    <s v="Susana"/>
    <x v="1"/>
    <s v="Evolutivo"/>
    <x v="0"/>
    <s v="BLOQUE 5 – Soporte a operativa diaria SAP"/>
    <s v="INCIDENCIA EN LAS CUIENTAS DE MAYOR 4109000001/4109000002 Y 4109000003"/>
    <m/>
    <m/>
    <s v="Alta"/>
    <s v="16/05/2025 Se transporta el Martes 20 a producción/Subidos los cambios el martes pasado, cerrada"/>
    <s v="S4/hana"/>
    <s v="AHY"/>
    <x v="0"/>
    <d v="2025-05-13T00:00:00"/>
    <d v="2025-05-20T00:00:00"/>
    <d v="2025-07-19T00:00:00"/>
    <s v="Se cierra según lo previsto"/>
    <s v="ES"/>
    <d v="2025-05-20T00:00:00"/>
    <s v="Sin retraso"/>
    <m/>
    <m/>
    <m/>
    <s v="Bajo"/>
    <n v="0"/>
  </r>
  <r>
    <s v="MP-0080"/>
    <d v="2025-05-14T00:00:00"/>
    <m/>
    <s v="Isabel"/>
    <x v="1"/>
    <s v="Consulta"/>
    <x v="1"/>
    <s v="BLOQUE 5 – Soporte a operativa diaria SAP"/>
    <s v="Variación de existencias"/>
    <m/>
    <m/>
    <s v="Media"/>
    <s v="14/05/2025 Cuando hay una venta o salida por cualquier motivo de productos de almacén._x000a_Se produce una variación de existencias._x000a_610.   a.     300_x000a_Eso lo vimos y suponemos que lo hace siempre._x000a_Pero no comprobamos la valoración._x000a_El importe de este asiento.  Coge bien el precio de coste de cada producto?_x000a_La baja la hace por el precio medio ponderado de cada producto en el momento de la salida?_x000a_/En proceso"/>
    <s v="S4/hana"/>
    <s v="LCC"/>
    <x v="6"/>
    <d v="2025-09-30T00:00:00"/>
    <d v="2025-10-07T00:00:00"/>
    <d v="2025-10-07T00:00:00"/>
    <m/>
    <s v="ES"/>
    <m/>
    <m/>
    <m/>
    <m/>
    <m/>
    <s v="N/A"/>
    <n v="3.5"/>
  </r>
  <r>
    <s v="MP-0081"/>
    <d v="2025-05-14T00:00:00"/>
    <m/>
    <s v="Susana"/>
    <x v="1"/>
    <s v="Incidencia"/>
    <x v="0"/>
    <s v="BLOQUE 5 – Soporte a operativa diaria SAP"/>
    <s v="INCIDENCIA EN EL LIBRO DE CAJA "/>
    <m/>
    <m/>
    <s v="Media"/>
    <s v="14/05/2025 Se recibe la información y el requerimiento documentado para gestionar la incidencia_x000a_22/05/2025 Se detecta que esta la confiuaración en test y se espera la prueba del usuario/Subiran los cambios al mediodia y se entrega._x000a_"/>
    <s v="S4/hana"/>
    <s v="AHY"/>
    <x v="0"/>
    <d v="2025-06-02T00:00:00"/>
    <d v="2025-06-09T00:00:00"/>
    <d v="2025-06-09T00:00:00"/>
    <m/>
    <s v="ES"/>
    <d v="2025-06-02T00:00:00"/>
    <s v="Sin retraso"/>
    <m/>
    <m/>
    <m/>
    <s v="N/A"/>
    <n v="3"/>
  </r>
  <r>
    <s v="MP-0082"/>
    <d v="2025-05-14T00:00:00"/>
    <m/>
    <s v="Lu WANG"/>
    <x v="1"/>
    <s v="Incidencia"/>
    <x v="1"/>
    <s v="BLOQUE 5 – Soporte a operativa diaria SAP"/>
    <s v="Error producto ERLA Intercompany"/>
    <m/>
    <m/>
    <s v="Media"/>
    <s v="14/05/2025 Recibimos manual de proceso de ERLA/"/>
    <s v="S4/hana"/>
    <s v="LCC"/>
    <x v="8"/>
    <d v="2025-09-09T00:00:00"/>
    <d v="2025-09-16T00:00:00"/>
    <d v="2025-09-16T00:00:00"/>
    <m/>
    <s v="ES"/>
    <m/>
    <m/>
    <m/>
    <m/>
    <m/>
    <s v="N/A"/>
    <n v="2"/>
  </r>
  <r>
    <s v="MP-0083"/>
    <d v="2025-05-14T00:00:00"/>
    <m/>
    <s v="Liu Yalu"/>
    <x v="1"/>
    <s v="Evolutivo"/>
    <x v="2"/>
    <s v="BLOQUE 5 – Soporte a operativa diaria SAP"/>
    <s v="Código ATCUD 2025, MP Portugal._x000a_Séries Comunicadas 2025"/>
    <m/>
    <m/>
    <s v="Media"/>
    <s v="14/05/2025 Se reciben los criterios establecidoas para generar el QR._x000a_27/05/2025 Se recibe de nuevo los requerimiento/_x000a_10/06/2025 Revisando internamente_x000a_17/6/2025 - Configurado en TEST_x000a_19/06/2025 - pendiente de hablar con IT Portugal"/>
    <s v="S4/hana"/>
    <s v="LCC"/>
    <x v="2"/>
    <d v="2025-07-23T00:00:00"/>
    <d v="2025-07-30T00:00:00"/>
    <d v="2025-07-30T00:00:00"/>
    <s v="Se recibe de nuevo requerimiento"/>
    <s v="PT"/>
    <m/>
    <m/>
    <m/>
    <m/>
    <m/>
    <s v="N/A"/>
    <n v="2"/>
  </r>
  <r>
    <s v="MP-0084"/>
    <d v="2025-05-14T00:00:00"/>
    <m/>
    <s v="Susana, Ana"/>
    <x v="1"/>
    <s v="Evolutivo"/>
    <x v="0"/>
    <s v="BLOQUE 5 – Soporte a operativa diaria SAP"/>
    <s v="Necesitamos que todas las cuentas se puedan contabilizar de forma manual."/>
    <m/>
    <m/>
    <s v="Media"/>
    <s v="16/05/2025 • Necesitamos que todas las cuentas se puedan contabilizar de forma manual._x000a_Esto no es recomendable pero entendemos que la solicitud viene para realizar ajustes del cierre y corregir las desviaciones contables Vamos a enviar un listado de todas las cuentas de mayor que se contabilicen par aque nos confirmeis las que son necesarias._x000a_19/05/2025 Se envia el fichero para contabilizaciones automáticas/_x000a_29/05/2025 se cambia fecha de entrega, 10 dias sin contestar._x000a_06/6/2025 Sin contestación se revia la posibilidad de cerrarla"/>
    <s v="S4/hana"/>
    <s v="M.A"/>
    <x v="2"/>
    <d v="2025-06-30T00:00:00"/>
    <d v="2025-07-01T00:00:00"/>
    <d v="2025-07-01T00:00:00"/>
    <m/>
    <s v="ES"/>
    <m/>
    <m/>
    <m/>
    <m/>
    <m/>
    <s v="N/A"/>
    <n v="3"/>
  </r>
  <r>
    <s v="MP-0085"/>
    <d v="2025-05-14T00:00:00"/>
    <m/>
    <s v="Susana, Ana"/>
    <x v="1"/>
    <s v="Evolutivo"/>
    <x v="0"/>
    <s v="BLOQUE 5 – Soporte a operativa diaria SAP"/>
    <s v="Que todas las cuentas del grupo 6 y grupo 7 se puedan contabilizar sin que tenga un indicador de impuesto Entonces por favor del grupo 7 solo habilitarme sin que tenga el indicador de impuesto  las cuentas 76- y de gastos quiero todas menos las 6000._x000a_Extraccion de información"/>
    <m/>
    <m/>
    <s v="Media"/>
    <s v="28/05/2025 Se procede a quitar el II de PYG_x000a_29/05/2025 Mandar al usaurio para que valide_x000a_29/05/2025 A la espera del ok , el lunes tiene que confirmar para el martes_x000a_03/06/2025 El usuaro confirma que todo ok"/>
    <s v="S4/hana"/>
    <s v="AHY"/>
    <x v="0"/>
    <d v="2025-05-30T00:00:00"/>
    <d v="2025-06-06T00:00:00"/>
    <d v="2025-06-06T00:00:00"/>
    <m/>
    <s v="ES"/>
    <d v="2025-05-30T00:00:00"/>
    <s v="Revision por parte de MP"/>
    <s v="No"/>
    <s v="Proceso"/>
    <m/>
    <s v="N/A"/>
    <n v="8"/>
  </r>
  <r>
    <s v="MP-00851"/>
    <d v="2025-05-14T00:00:00"/>
    <m/>
    <s v="Susana, Ana"/>
    <x v="1"/>
    <s v="Evolutivo"/>
    <x v="0"/>
    <s v="BLOQUE 5 – Soporte a operativa diaria SAP"/>
    <s v="Que todas las cuentas del grupo 6 y grupo 7 se puedan contabilizar sin que tenga un indicador de impuesto Entonces por favor del grupo 7 solo habilitarme sin que tenga el indicador de impuesto  las cuentas 76- y de gastos quiero todas menos las 6000._x000a_Cambio en la configuración"/>
    <m/>
    <m/>
    <s v="Media"/>
    <s v="28/05/2025 Se valida por el usuario  el bloqueo _x000a_29/05/2025 Las dos estan realacionadas"/>
    <s v="S4/hana"/>
    <s v="AHY"/>
    <x v="0"/>
    <d v="2025-05-30T00:00:00"/>
    <d v="2025-06-06T00:00:00"/>
    <d v="2025-06-06T00:00:00"/>
    <m/>
    <s v="ES"/>
    <d v="2025-05-30T00:00:00"/>
    <s v="Sin retraso"/>
    <s v="No"/>
    <s v="Proceso"/>
    <m/>
    <s v="N/A"/>
    <n v="1"/>
  </r>
  <r>
    <s v="MP-0086"/>
    <d v="2025-05-14T00:00:00"/>
    <m/>
    <s v="Susana, Ana"/>
    <x v="1"/>
    <s v="Evolutivo"/>
    <x v="0"/>
    <s v="BLOQUE 5 – Soporte a operativa diaria SAP"/>
    <s v="La cuenta Ebury esta creada como un proveedor y tiene diferentes divisas. Necesitamos crear cuentas de Banco.572 para la cuenta de euros y 573 para las cuentas de otras divisas. "/>
    <m/>
    <m/>
    <s v="Media"/>
    <s v="16/05/2025 se registra la peticion del 14/05/"/>
    <s v="S4/hana"/>
    <s v="LJS"/>
    <x v="7"/>
    <d v="2025-07-02T00:00:00"/>
    <d v="2025-07-09T00:00:00"/>
    <d v="2025-07-09T00:00:00"/>
    <m/>
    <s v="ES"/>
    <m/>
    <m/>
    <m/>
    <m/>
    <m/>
    <s v="N/A"/>
    <n v="11"/>
  </r>
  <r>
    <s v="MP-0087"/>
    <d v="2025-05-14T00:00:00"/>
    <m/>
    <s v="Susana, Ana"/>
    <x v="1"/>
    <s v="Evolutivo"/>
    <x v="0"/>
    <s v="BLOQUE 5 – Soporte a operativa diaria SAP"/>
    <s v="572054000 CAIXA PORTUGAL CUENTA CORRIENTE cuando bajamos la norma43 configurar el extracto"/>
    <m/>
    <m/>
    <s v="Media"/>
    <s v="16/05/2025 se registra la peticion del 14/05/_x000a_06/05/2025 Se prioriza por el usuaro_x000a_06/06/2025 se para al tratarse otros temas_x000a_11/06/2025 Revisar MA el email"/>
    <s v="S4/hana"/>
    <s v="AHY"/>
    <x v="2"/>
    <d v="2025-09-30T00:00:00"/>
    <d v="2025-10-07T00:00:00"/>
    <d v="2025-10-07T00:00:00"/>
    <m/>
    <s v="PT"/>
    <m/>
    <m/>
    <m/>
    <m/>
    <m/>
    <s v="N/A"/>
    <n v="3"/>
  </r>
  <r>
    <s v="MP-0088"/>
    <d v="2025-05-14T00:00:00"/>
    <m/>
    <s v="Susana, Ana"/>
    <x v="1"/>
    <s v="Evolutivo"/>
    <x v="0"/>
    <s v="BLOQUE 5 – Soporte a operativa diaria SAP"/>
    <s v="MP-0088 – metemos la cuenta 4009000001 del plan contable YCOA….me confirmas la posición donde tiene que estar? Y el balance es “MP” verdad?"/>
    <m/>
    <m/>
    <s v="Media"/>
    <s v="16/05/2025 se registra la peticion del 14/05/_x000a_29/05/2025 Revisar _x000a_03/06/2025 Se transporta y se revisa, se deja para validar"/>
    <s v="S4/hana"/>
    <s v="M.A"/>
    <x v="0"/>
    <d v="2025-06-03T00:00:00"/>
    <d v="2025-06-10T00:00:00"/>
    <d v="2025-06-10T00:00:00"/>
    <m/>
    <s v="ES"/>
    <d v="2025-06-03T00:00:00"/>
    <s v="Falta Recurso del Área"/>
    <m/>
    <m/>
    <m/>
    <s v="N/A"/>
    <n v="0"/>
  </r>
  <r>
    <s v="MP-0089"/>
    <d v="2025-05-14T00:00:00"/>
    <m/>
    <s v="Susana, Ana"/>
    <x v="1"/>
    <s v="Evolutivo"/>
    <x v="0"/>
    <s v="BLOQUE 5 – Soporte a operativa diaria SAP"/>
    <s v="Queremos crear nuevas cuentas de visa o de gasto, etc…  y no podemos hacerlo ninguna de las contables. Por favor enseñárselo bien a los que tengan acceso para no tener problemas de este tipo. Poder contabilizar de forma manual, sin indicador y que estén asignadas"/>
    <m/>
    <m/>
    <s v="Media"/>
    <s v="16/05/2025 se registra la peticion del 14/05/Requerimientos confirmados en proceso._x000a_29/05/2025 Mandar email que no se puede hacer _x000a_06/06/2025 Esperando a que se confirme la necesidad"/>
    <s v="S4/hana"/>
    <s v="M.A"/>
    <x v="3"/>
    <d v="2025-09-30T00:00:00"/>
    <d v="2025-10-07T00:00:00"/>
    <d v="2025-10-07T00:00:00"/>
    <m/>
    <s v="ES"/>
    <m/>
    <m/>
    <m/>
    <m/>
    <m/>
    <s v="N/A"/>
    <n v="0"/>
  </r>
  <r>
    <s v="MP-0090"/>
    <d v="2025-05-14T00:00:00"/>
    <m/>
    <s v="Susana, Ana"/>
    <x v="1"/>
    <s v="Evolutivo"/>
    <x v="0"/>
    <s v="BLOQUE 5 – Soporte a operativa diaria SAP"/>
    <s v="Por último, por favor cerrarme los periodos contables y enseñarnos porque transacción podemos abrir y cerrarlos porque nos podemos confundir y contabilizar facturas en fechas que no queremos"/>
    <m/>
    <m/>
    <s v="Media"/>
    <s v="16/05/2025 se registra la peticion del 14/05/_x000a_29/05/2025 Preguntar a Lu_x000a_06/06/2025 se cierra despues de haberse entregado hace una semana"/>
    <s v="S4/hana"/>
    <s v="M.A"/>
    <x v="0"/>
    <d v="2025-05-28T00:00:00"/>
    <d v="2025-06-04T00:00:00"/>
    <d v="2025-06-04T00:00:00"/>
    <m/>
    <s v="ES"/>
    <d v="2025-06-13T00:00:00"/>
    <s v="Sin retraso"/>
    <m/>
    <m/>
    <m/>
    <s v="N/A"/>
    <n v="0"/>
  </r>
  <r>
    <s v="MP-0091"/>
    <d v="2025-05-15T00:00:00"/>
    <m/>
    <s v="Susana, Ana"/>
    <x v="1"/>
    <s v="Evolutivo"/>
    <x v="3"/>
    <s v="BLOQUE 5 – Soporte a operativa diaria SAP"/>
    <s v="Se pide verificar que clase de documento se genera por tipo de operación se abre la incidencia"/>
    <m/>
    <m/>
    <s v="Alta"/>
    <s v="16/05/2025 se registra la peticion del 14/05/"/>
    <s v="S4/hana"/>
    <s v="RMB"/>
    <x v="8"/>
    <d v="2025-09-30T00:00:00"/>
    <d v="2025-10-07T00:00:00"/>
    <d v="2025-10-07T00:00:00"/>
    <m/>
    <s v="ES"/>
    <m/>
    <m/>
    <m/>
    <m/>
    <m/>
    <s v="N/A"/>
    <n v="0"/>
  </r>
  <r>
    <s v="MP-0092"/>
    <d v="2025-05-19T00:00:00"/>
    <m/>
    <s v="Susana, Ana"/>
    <x v="1"/>
    <s v="Evolutivo"/>
    <x v="3"/>
    <s v="BLOQUE 5 – Soporte a operativa diaria SAP"/>
    <s v="necesario implementar una validación donde la la fecha de contabilización sea igual o mayor a la fecha del pedido."/>
    <m/>
    <m/>
    <s v="Alta"/>
    <s v="19/05/2025 se registra la peticion del 14/05/Verificando solución_x000a_03/06/2025 Se trata intenamente aunque se para por la priorización de otras incidencias o procesos._x000a_11/06/2025 necesario crear la validación o viendo la viabilidad de realizar la validadcion desde ventas."/>
    <s v="S4/hana"/>
    <s v="RMB"/>
    <x v="4"/>
    <d v="2025-06-29T00:00:00"/>
    <d v="2025-07-06T00:00:00"/>
    <d v="2025-07-06T00:00:00"/>
    <m/>
    <s v="ES"/>
    <m/>
    <m/>
    <m/>
    <m/>
    <m/>
    <s v="N/A"/>
    <n v="11.5"/>
  </r>
  <r>
    <s v="MP-0093"/>
    <d v="2025-05-19T00:00:00"/>
    <m/>
    <s v="Susana, Ana"/>
    <x v="1"/>
    <s v="Evolutivo"/>
    <x v="3"/>
    <s v="BLOQUE 5 – Soporte a operativa diaria SAP"/>
    <s v="necesario implementar una validación donde la la fecha de fatura sea igual a hoy"/>
    <m/>
    <m/>
    <s v="Media"/>
    <s v="19/05/2025 se registra la peticion del 14/05/_x000a_29/05/2025 Verificar si es igual que la anterior , necesario implementar una validación donde la la fecha de fatura sea igual a hoy"/>
    <s v="S4/hana"/>
    <s v="RMB"/>
    <x v="4"/>
    <d v="2025-06-29T00:00:00"/>
    <d v="2025-07-06T00:00:00"/>
    <d v="2025-07-06T00:00:00"/>
    <m/>
    <s v="ES"/>
    <m/>
    <m/>
    <m/>
    <m/>
    <m/>
    <s v="N/A"/>
    <n v="8"/>
  </r>
  <r>
    <s v="MP-0094"/>
    <d v="2025-05-19T00:00:00"/>
    <m/>
    <s v="Susana, Ana"/>
    <x v="1"/>
    <s v="Evolutivo"/>
    <x v="3"/>
    <s v="BLOQUE 5 – Soporte a operativa diaria SAP"/>
    <s v="necesario implementar una validación donde la la fecha de contabilización sea igual o mayor a la fecha del pedido.Revisar procedimiento - Se recibe la factura y se crea el pedido, el pedido tienen que realizarse antes o el mismo dia de la factura."/>
    <m/>
    <m/>
    <s v="Media"/>
    <s v="19/05/2025 se registra la peticion del 14/05/_x000a_29/05/2025 Verificar si es igual que la anterior"/>
    <s v="S4/hana"/>
    <s v="RMB"/>
    <x v="9"/>
    <d v="2025-09-30T00:00:00"/>
    <d v="2025-10-07T00:00:00"/>
    <d v="2025-10-07T00:00:00"/>
    <m/>
    <s v="ES"/>
    <m/>
    <m/>
    <m/>
    <m/>
    <m/>
    <s v="N/A"/>
    <n v="0"/>
  </r>
  <r>
    <s v="MP-0095"/>
    <d v="2025-05-19T00:00:00"/>
    <m/>
    <s v="Isabel"/>
    <x v="1"/>
    <s v="Consulta"/>
    <x v="3"/>
    <s v="BLOQUE 5 – Soporte a operativa diaria SAP"/>
    <s v="Verificar cual es el valor de venta del producto, cual es el valor que coge si es el precio último de coste."/>
    <m/>
    <m/>
    <s v="Alta"/>
    <s v="19/05/2025 se abre la incidencia identificada el 13/05/2025/_x000a_29/05/2025 Verificar si esta duplicada_x000a_04/05/2025 Se verifica internamente"/>
    <s v="S4/hana"/>
    <s v="RMB"/>
    <x v="5"/>
    <d v="2025-07-14T00:00:00"/>
    <d v="2025-07-21T00:00:00"/>
    <d v="2025-07-21T00:00:00"/>
    <m/>
    <s v="ES"/>
    <m/>
    <m/>
    <m/>
    <m/>
    <m/>
    <s v="N/A"/>
    <n v="0"/>
  </r>
  <r>
    <s v="MP-0096"/>
    <d v="2025-05-20T00:00:00"/>
    <m/>
    <s v="Isabel"/>
    <x v="1"/>
    <s v="Consulta"/>
    <x v="1"/>
    <s v="BLOQUE 5 – Soporte a operativa diaria SAP"/>
    <s v="Necesidad de registrar una factura de enero Pedido del 02/01/2025_x000a__x000a_Entrada de mercancías el 11/03/2025, cuando la factura se debe registrar el 11/01/2025 y la entrada de mercancía no puede ser posterior a esta."/>
    <m/>
    <m/>
    <s v="Alta"/>
    <s v="20/05/2025 se abre/_x000a_29/05/2025 se aclaran_x000a_18/06/2025 - hacer manual para enseñar."/>
    <s v="S4/hana"/>
    <s v="LCC"/>
    <x v="0"/>
    <d v="2025-06-27T00:00:00"/>
    <d v="2025-07-04T00:00:00"/>
    <d v="2025-07-04T00:00:00"/>
    <m/>
    <s v="ES"/>
    <m/>
    <m/>
    <m/>
    <m/>
    <m/>
    <s v="N/A"/>
    <n v="7"/>
  </r>
  <r>
    <s v="MP-0097"/>
    <d v="2025-05-20T00:00:00"/>
    <m/>
    <s v="Susana"/>
    <x v="1"/>
    <s v="Consulta"/>
    <x v="0"/>
    <s v="BLOQUE 5 – Soporte a operativa diaria SAP"/>
    <s v="Modificaciones en masa de NIF de clients y proveedores para informe de declaración de IVA"/>
    <m/>
    <m/>
    <s v="Alta"/>
    <s v="20/05/2025 se abre_x000a_26/05/2025 Se prioriza por el usuario, se realiza una prueba/Se ha extraido los NIF en el sistema para verificar que tercero falta_x000a_29/05/2025 Se realiza la prueba y se revisa internamente por Altim para ver si esposible modificarlo en masa. Se retrasa porque hay un recurso menos y se ha prioorizado otras cosas_x000a_06/06/2025 se parovecha la incidencia porque se identifica que hay nif incorrectas y MP tiene que corregirlos_x000a_11/06/2025 Recordar email_x000a_13/06/2025 Enviado email de recuerdo"/>
    <s v="S4/hana"/>
    <s v="AHY"/>
    <x v="2"/>
    <d v="2025-06-30T00:00:00"/>
    <d v="2025-07-07T00:00:00"/>
    <d v="2025-07-07T00:00:00"/>
    <m/>
    <s v="ES"/>
    <m/>
    <m/>
    <m/>
    <m/>
    <m/>
    <s v="N/A"/>
    <n v="9"/>
  </r>
  <r>
    <s v="MP-0098"/>
    <d v="2025-05-20T00:00:00"/>
    <m/>
    <s v="Susana"/>
    <x v="1"/>
    <s v="Consulta"/>
    <x v="0"/>
    <s v="BLOQUE 5 – Soporte a operativa diaria SAP"/>
    <s v="Verificar volumen de negoio clientes y proveedores, facilitar informe"/>
    <m/>
    <m/>
    <s v="Media"/>
    <s v="20/05/2025 se abre/_x000a_29/05/2025 Verificar si esta duplicada MP-0008_x000a_06/06/2025 Duplicada"/>
    <s v="S4/hana"/>
    <s v="M.A"/>
    <x v="9"/>
    <d v="2025-09-30T00:00:00"/>
    <d v="2025-10-07T00:00:00"/>
    <d v="2025-10-07T00:00:00"/>
    <m/>
    <s v="ES"/>
    <m/>
    <m/>
    <m/>
    <m/>
    <m/>
    <s v="N/A"/>
    <n v="1"/>
  </r>
  <r>
    <s v="MP-0099"/>
    <d v="2025-05-20T00:00:00"/>
    <m/>
    <s v="Lu WANG"/>
    <x v="1"/>
    <s v="Evolutivo"/>
    <x v="4"/>
    <s v="BLOQUE 5 – Soporte a operativa diaria SAP"/>
    <s v="Formación arquitectura SAP Reunión sistemas en S/4Hana y Mindset cloud_x000a_MP-0099 Presentación BTP"/>
    <m/>
    <m/>
    <s v="Alta"/>
    <s v="20/05/2025 se abre/"/>
    <s v="S4/hana"/>
    <s v="ADM"/>
    <x v="0"/>
    <d v="2025-05-30T00:00:00"/>
    <d v="2025-06-06T00:00:00"/>
    <d v="2025-06-06T00:00:00"/>
    <m/>
    <s v="ES"/>
    <d v="2025-06-12T00:00:00"/>
    <s v="Sin retraso"/>
    <m/>
    <m/>
    <m/>
    <s v="N/A"/>
    <n v="5"/>
  </r>
  <r>
    <s v="MP-0100"/>
    <d v="2025-05-20T00:00:00"/>
    <m/>
    <s v="Lu WANG"/>
    <x v="1"/>
    <s v="Evolutivo"/>
    <x v="1"/>
    <s v="BLOQUE 5 – Soporte a operativa diaria SAP"/>
    <s v="Formación Interco"/>
    <m/>
    <m/>
    <s v="Alta"/>
    <s v="20/05/2025 se abre/"/>
    <s v="S4/hana"/>
    <s v="ADM"/>
    <x v="0"/>
    <d v="2025-05-30T00:00:00"/>
    <d v="2025-06-06T00:00:00"/>
    <d v="2025-06-06T00:00:00"/>
    <m/>
    <s v="ES"/>
    <d v="2025-05-20T00:00:00"/>
    <s v="Sin retraso"/>
    <m/>
    <m/>
    <m/>
    <s v="N/A"/>
    <n v="0.5"/>
  </r>
  <r>
    <s v="MP-0101"/>
    <d v="2025-05-21T00:00:00"/>
    <m/>
    <s v="Lu WANG"/>
    <x v="1"/>
    <s v="Consulta"/>
    <x v="3"/>
    <s v="BLOQUE 5 – Soporte a operativa diaria SAP"/>
    <s v="El destinatario de factura puede ser un autonomo y el cliente una empresa"/>
    <m/>
    <m/>
    <s v="Alta"/>
    <s v="20/05/2025 se abre y se contesta/Entregada para cerrar esta semana"/>
    <s v="S4/hana"/>
    <s v="M.A"/>
    <x v="0"/>
    <d v="2025-05-22T00:00:00"/>
    <d v="2025-05-29T00:00:00"/>
    <d v="2025-05-29T00:00:00"/>
    <m/>
    <s v="ES"/>
    <d v="2025-05-22T00:00:00"/>
    <s v="Sin retraso"/>
    <m/>
    <m/>
    <m/>
    <s v="N/A"/>
    <n v="0.5"/>
  </r>
  <r>
    <s v="MP-0102"/>
    <d v="2025-05-22T00:00:00"/>
    <m/>
    <s v="Ana"/>
    <x v="1"/>
    <s v="Consulta"/>
    <x v="0"/>
    <s v="BLOQUE 5 – Soporte a operativa diaria SAP"/>
    <s v="CONSULTA ACTIVO FIJO_x000a_-Al contabilizar el activo fijo, lo lleva a la cuenta 219 en lugar de la cuenta 218 a pesar de que se ha identificado como Elemento de transporte (Z218)_x000a__x000a_-En este caso, es un activo deducible al 50%. Si ponemos un 50% variable en la amortización, ¿cómo distribuye el gasto? Habría que crear un cuenta de amortización NO DEDUCIBLE donde se cargue el 50% y el otro 50% a la cuenta de amortización normal."/>
    <m/>
    <m/>
    <s v="Media"/>
    <s v="21/05/2025 se abre/_x000a_11/06/2025 Determinación de cuentas"/>
    <s v="S4/hana"/>
    <s v="LJS"/>
    <x v="8"/>
    <d v="2025-09-30T00:00:00"/>
    <d v="2025-10-07T00:00:00"/>
    <d v="2025-10-07T00:00:00"/>
    <m/>
    <s v="ES"/>
    <m/>
    <m/>
    <m/>
    <m/>
    <m/>
    <s v="N/A"/>
    <n v="2"/>
  </r>
  <r>
    <s v="MP-0103"/>
    <d v="2025-05-22T00:00:00"/>
    <m/>
    <s v="Luna, Susana "/>
    <x v="1"/>
    <s v="Evolutivo"/>
    <x v="0"/>
    <s v="BLOQUE 5 – Soporte a operativa diaria SAP"/>
    <s v="Estructura de balance"/>
    <m/>
    <m/>
    <s v="Alta"/>
    <s v="22/05/2025 error al enumerarla como MP-0081 ahora 103/Gestionando la estructura de balance_x000a_03/06/2025 Se sube los cambios a la espera de confirmación del usuario"/>
    <s v="S4/hana"/>
    <s v="MPP"/>
    <x v="0"/>
    <d v="2025-09-30T00:00:00"/>
    <d v="2025-10-07T00:00:00"/>
    <d v="2025-10-07T00:00:00"/>
    <m/>
    <s v="ES"/>
    <d v="2025-09-30T00:00:00"/>
    <s v="Sin retraso"/>
    <m/>
    <m/>
    <m/>
    <s v="N/A"/>
    <n v="5.5"/>
  </r>
  <r>
    <s v="MP-0104"/>
    <d v="2025-05-22T00:00:00"/>
    <m/>
    <s v="Susana"/>
    <x v="1"/>
    <s v="Incidencia"/>
    <x v="0"/>
    <s v="BLOQUE 5 – Soporte a operativa diaria SAP"/>
    <s v="Revisar la asignación automática de ceco a cuenta de gastos"/>
    <m/>
    <m/>
    <s v="Baja"/>
    <s v="22/05/2025 se abre la incidencia/_x000a_06/06/2025 Se extraen datos para la revisión de MP"/>
    <s v="S4/hana"/>
    <s v="LJS"/>
    <x v="9"/>
    <d v="2025-09-30T00:00:00"/>
    <d v="2025-10-07T00:00:00"/>
    <d v="2025-10-07T00:00:00"/>
    <m/>
    <s v="ES"/>
    <m/>
    <m/>
    <m/>
    <m/>
    <m/>
    <s v="N/A"/>
    <n v="11.5"/>
  </r>
  <r>
    <s v="MP-0105"/>
    <d v="2025-06-12T00:00:00"/>
    <m/>
    <s v="Liu Yalu"/>
    <x v="1"/>
    <s v="Petición"/>
    <x v="3"/>
    <s v="BLOQUE 5 – Soporte a operativa diaria SAP"/>
    <s v="posibilidad de realizar facturas rectificativas sin referencia a factura de ventas”"/>
    <m/>
    <m/>
    <s v="Crítica"/>
    <s v="11/06/2025 Se pone a trabajar a principios de semana"/>
    <s v="S4/hana"/>
    <s v="RMB"/>
    <x v="5"/>
    <d v="2025-06-30T00:00:00"/>
    <d v="2025-07-07T00:00:00"/>
    <d v="2025-07-07T00:00:00"/>
    <m/>
    <s v="PT"/>
    <m/>
    <m/>
    <m/>
    <m/>
    <n v="1"/>
    <s v="Medio"/>
    <n v="1.5"/>
  </r>
  <r>
    <s v="MP-0106"/>
    <d v="2025-05-22T00:00:00"/>
    <m/>
    <s v="Susana"/>
    <x v="1"/>
    <s v="Incidencia"/>
    <x v="3"/>
    <s v="BLOQUE 5 – Soporte a operativa diaria SAP"/>
    <s v="Numeración de las facturas rectificativas tiene que ser diferente a la de la venta original"/>
    <m/>
    <m/>
    <s v="Alta"/>
    <s v="22/05/2025 se abre la incidencia/_x000a_04/06/2025 asignada"/>
    <s v="S4/hana"/>
    <s v="RMB"/>
    <x v="5"/>
    <d v="2025-07-13T00:00:00"/>
    <d v="2025-07-20T00:00:00"/>
    <d v="2025-07-20T00:00:00"/>
    <m/>
    <s v="ES"/>
    <m/>
    <m/>
    <m/>
    <m/>
    <m/>
    <s v="N/A"/>
    <n v="1"/>
  </r>
  <r>
    <s v="MP-0107"/>
    <d v="2025-05-26T00:00:00"/>
    <m/>
    <s v="Lu WANG"/>
    <x v="1"/>
    <s v="Consulta"/>
    <x v="0"/>
    <s v="BLOQUE 5 – Soporte a operativa diaria SAP"/>
    <s v="Vencimiento neto de las partidas"/>
    <m/>
    <m/>
    <s v="Alta"/>
    <s v="22/05/2025 se manifiesta la incidencia de la app de cobros_x000a_26/05/2025 se requiere información/Se solicita información_x000a_03/06/2025 Se retrasa por prioridas de otras incidencias"/>
    <m/>
    <s v="M.A"/>
    <x v="1"/>
    <d v="2025-07-16T00:00:00"/>
    <d v="2025-07-23T00:00:00"/>
    <d v="2025-07-19T00:00:00"/>
    <m/>
    <s v="ES"/>
    <m/>
    <m/>
    <m/>
    <m/>
    <m/>
    <s v="N/A"/>
    <n v="1"/>
  </r>
  <r>
    <s v="MP-0108"/>
    <d v="2025-05-22T00:00:00"/>
    <m/>
    <s v="Lu WANG"/>
    <x v="1"/>
    <s v="Consulta"/>
    <x v="1"/>
    <s v="BLOQUE 5 – Soporte a operativa diaria SAP"/>
    <s v="Reunión comercio Internacional"/>
    <m/>
    <m/>
    <s v="Alta"/>
    <s v="22/05/2025 Se realiza una reunión de 1,5 h/Realizado"/>
    <m/>
    <s v="ADM"/>
    <x v="0"/>
    <d v="2025-05-22T00:00:00"/>
    <d v="2025-05-22T00:00:00"/>
    <d v="2025-05-22T00:00:00"/>
    <m/>
    <s v="ES"/>
    <d v="2025-05-22T00:00:00"/>
    <s v="Sin retraso"/>
    <m/>
    <m/>
    <m/>
    <s v="N/A"/>
    <n v="1.5"/>
  </r>
  <r>
    <s v="MP-0109"/>
    <d v="2025-05-28T00:00:00"/>
    <m/>
    <s v="Susana"/>
    <x v="1"/>
    <s v="Petición"/>
    <x v="0"/>
    <s v="BLOQUE 5 – Soporte a operativa diaria SAP"/>
    <s v="Necesito que se pueda contabilizar de forma manual o directamente las cuentas 407… de anticipos._x000a__x000a_ _x000a__x000a_La cuenta 5201000008 (Tarjeta Caixa  0859) necesito que me cambies el concepto de la cuenta Tarjeta Caixa 0517/8220_x000a__x000a_ _x000a__x000a_La cuenta 5201000019_x000a__x000a_Tarjeta Sabadel 9022_x000a__x000a_Tarjeta Sabadell 5540 0146 6938 9022_x000a__x000a_YCOA_x000a__x000a_ES01_x000a__x000a_que me la cambies el concepto por Tarjeta Caixa 6923  y me lo asocies al banco de la caixa ."/>
    <m/>
    <m/>
    <s v="Alta"/>
    <s v="28/05/2025 Se abre la incidencia de carácter urgente y se piden una serie de dudas_x000a_29/05/2025 Se baja la prioridad porque se esta a la espera_x000a_30/05/2025 se vuelve a pedir requerimientos, la usuaria quiere confirmar posibilidades antes de confirmar._x000a_03/06/2025 Confirmando de reuqerimientos, Susana Contesta_x000a_06/06/2025 Se cierra"/>
    <m/>
    <s v="AHY"/>
    <x v="0"/>
    <d v="2025-06-04T00:00:00"/>
    <d v="2025-06-05T00:00:00"/>
    <d v="2025-05-26T00:00:00"/>
    <m/>
    <s v="ES"/>
    <d v="2025-06-04T00:00:00"/>
    <s v="Sin retraso"/>
    <m/>
    <m/>
    <m/>
    <s v="N/A"/>
    <n v="13"/>
  </r>
  <r>
    <s v="MP-0110"/>
    <d v="2025-05-28T00:00:00"/>
    <m/>
    <s v="Susana"/>
    <x v="1"/>
    <s v="Petición"/>
    <x v="0"/>
    <s v="BLOQUE 5 – Soporte a operativa diaria SAP"/>
    <s v="Patrimonio de Activos Fijos en ES01"/>
    <m/>
    <m/>
    <s v="Alta"/>
    <s v="28/05/2025 Patrimonio de Activos Fijos en ES01_x000a_28/05/2025 Envio de fichero e informado de la app_x000a_03/06/2025 Sin contestación del usuario "/>
    <m/>
    <s v="M.A"/>
    <x v="0"/>
    <d v="2025-05-28T00:00:00"/>
    <d v="2025-05-29T00:00:00"/>
    <d v="2025-05-26T00:00:00"/>
    <m/>
    <s v="ES"/>
    <d v="2025-05-28T00:00:00"/>
    <s v="Sin retraso"/>
    <m/>
    <m/>
    <m/>
    <s v="N/A"/>
    <n v="2"/>
  </r>
  <r>
    <s v="MP-0111"/>
    <d v="2025-05-28T00:00:00"/>
    <m/>
    <s v="Susana"/>
    <x v="1"/>
    <s v="Consulta"/>
    <x v="0"/>
    <s v="BLOQUE 5 – Soporte a operativa diaria SAP"/>
    <s v="Anticipo, arias opciones a la hora de generar un anticipo de manera manual"/>
    <m/>
    <m/>
    <s v="Alta"/>
    <s v="28/05/2025 Se contesta y se explica el proceso_x000a_03/06/2025 Recordar"/>
    <m/>
    <s v="MPP"/>
    <x v="0"/>
    <d v="2025-09-30T00:00:00"/>
    <d v="2025-10-07T00:00:00"/>
    <d v="2025-10-07T00:00:00"/>
    <m/>
    <s v="ES"/>
    <d v="2025-09-30T00:00:00"/>
    <s v="Sin retraso"/>
    <m/>
    <m/>
    <m/>
    <s v="N/A"/>
    <n v="3.5"/>
  </r>
  <r>
    <s v="MP-0112"/>
    <d v="2025-05-29T00:00:00"/>
    <m/>
    <s v="Marta"/>
    <x v="1"/>
    <s v="Consulta"/>
    <x v="1"/>
    <s v="BLOQUE 5 – Soporte a operativa diaria SAP"/>
    <s v="Duda en facturas de compras intracomunitarias.el regitro info es lo que lleva el historial de a quien le compraste y a qué precio se lo compraste, en este punto no se rige la contabilización._x000a__x000a_La contabilización se verifica en la categoría de valoración del material"/>
    <m/>
    <m/>
    <s v="Alta"/>
    <s v="29/05/2025 Se contesta y se explica el proceso para solucionar este cambio de parametrización"/>
    <m/>
    <s v="M.A"/>
    <x v="0"/>
    <d v="2025-08-29T00:00:00"/>
    <d v="2025-09-05T00:00:00"/>
    <d v="2025-09-05T00:00:00"/>
    <m/>
    <s v="ES"/>
    <m/>
    <m/>
    <m/>
    <m/>
    <m/>
    <s v="N/A"/>
    <n v="4.5"/>
  </r>
  <r>
    <s v="MP-01121"/>
    <d v="2025-05-29T00:00:00"/>
    <m/>
    <s v="Marta"/>
    <x v="1"/>
    <s v="Evolutivo"/>
    <x v="1"/>
    <s v="BLOQUE 7 – Evolutivos y CRM"/>
    <s v="Extraer el maestro de materiales y su categoria de valoración - Altim_x000a_Asignar a la extraccion del material la categoría de valoración nueva en el fichero nuevo - MP_x000a_"/>
    <m/>
    <m/>
    <s v="Alta"/>
    <s v="29/05/2025 Se propone solución para que no pase de cara al futuro_x000a_18/06/2025  -está en el mestro de materiales. Ficheros preparados por Leandro"/>
    <m/>
    <s v="M.A"/>
    <x v="0"/>
    <d v="2025-06-18T00:00:00"/>
    <d v="2025-06-25T00:00:00"/>
    <d v="2025-06-25T00:00:00"/>
    <m/>
    <s v="ES"/>
    <m/>
    <m/>
    <m/>
    <m/>
    <m/>
    <s v="N/A"/>
    <n v="0.5"/>
  </r>
  <r>
    <s v="MP-01122"/>
    <d v="2025-05-29T00:00:00"/>
    <m/>
    <s v="Marta"/>
    <x v="1"/>
    <s v="Evolutivo"/>
    <x v="1"/>
    <s v="BLOQUE 7 – Evolutivos y CRM"/>
    <s v="Crear dos nuevas categorias de valoración:_x000a_6000000003 se quedaría la 3100 cambiar configuración ya que la mayoría de proveedores son de No UE y asi habria que modificar el DM lo menos posible - Altim_x000a_6000000001 se quedaría la 3101 crearla nueva - Altim_x000a_6000000002se quedaría la 3102 crearla nueva - Altim"/>
    <m/>
    <m/>
    <s v="Alta"/>
    <s v="29/05/2025 Se propone solución para que no pase de cara al futuro_x000a_18/06/2025 - se cierre. Nose corrigen categorias de valoración"/>
    <m/>
    <s v="M.A"/>
    <x v="0"/>
    <d v="2025-06-18T00:00:00"/>
    <d v="2025-06-25T00:00:00"/>
    <d v="2025-06-25T00:00:00"/>
    <m/>
    <s v="ES"/>
    <m/>
    <m/>
    <m/>
    <m/>
    <m/>
    <s v="N/A"/>
    <n v="3.5"/>
  </r>
  <r>
    <s v="MP-01123"/>
    <d v="2025-05-29T00:00:00"/>
    <m/>
    <s v="Marta"/>
    <x v="1"/>
    <s v="Evolutivo"/>
    <x v="1"/>
    <s v="BLOQUE 7 – Evolutivos y CRM"/>
    <s v="Modificación masiva de Materiales - Ver la viabilidad por parte de Altim y si no es posible el usuario"/>
    <m/>
    <m/>
    <s v="Alta"/>
    <s v="29/05/2025 Se propone solución para que no pase de cara al futuro_x000a_18/06/2025 se cierrra. No se corrigirán categorías de valoración masivas"/>
    <m/>
    <s v="M.A"/>
    <x v="0"/>
    <d v="2025-06-18T00:00:00"/>
    <d v="2025-06-25T00:00:00"/>
    <d v="2025-06-25T00:00:00"/>
    <m/>
    <s v="ES"/>
    <m/>
    <m/>
    <m/>
    <m/>
    <m/>
    <s v="N/A"/>
    <n v="1.5"/>
  </r>
  <r>
    <s v="MP-01124"/>
    <d v="2025-05-30T00:00:00"/>
    <m/>
    <s v="Isabel"/>
    <x v="1"/>
    <s v="Petición"/>
    <x v="3"/>
    <s v="BLOQUE 7 – Evolutivos y CRM"/>
    <s v="Pedir que no se pueda crear la factura sin contabilizarse"/>
    <m/>
    <m/>
    <s v="Alta"/>
    <s v="30/05/2025 se toma el requisito y se estudia la viabilidad"/>
    <m/>
    <s v="M.A"/>
    <x v="8"/>
    <d v="2025-09-30T00:00:00"/>
    <d v="2025-10-07T00:00:00"/>
    <d v="2025-10-07T00:00:00"/>
    <m/>
    <s v="ES"/>
    <m/>
    <m/>
    <m/>
    <m/>
    <m/>
    <s v="N/A"/>
    <n v="0"/>
  </r>
  <r>
    <s v="MP-0113"/>
    <d v="2025-05-30T00:00:00"/>
    <m/>
    <s v="Isabel"/>
    <x v="1"/>
    <s v="Petición"/>
    <x v="3"/>
    <s v="BLOQUE 7 – Evolutivos y CRM"/>
    <s v="MP-Creación de factura sin contabilizar"/>
    <m/>
    <m/>
    <s v="Alta"/>
    <s v="30/09/2025 Viendo la viabilidad_x000a_04/06/2025 asignado internamente"/>
    <m/>
    <s v="RMB"/>
    <x v="5"/>
    <d v="2025-07-07T00:00:00"/>
    <d v="2025-07-14T00:00:00"/>
    <d v="2025-07-14T00:00:00"/>
    <m/>
    <s v="ES"/>
    <m/>
    <m/>
    <m/>
    <m/>
    <m/>
    <s v="N/A"/>
    <n v="3"/>
  </r>
  <r>
    <s v="MP-0114"/>
    <d v="2025-05-30T00:00:00"/>
    <m/>
    <s v="Lu WANG"/>
    <x v="1"/>
    <s v="Petición"/>
    <x v="3"/>
    <s v="BLOQUE 5 – Soporte a operativa diaria SAP"/>
    <s v="Las asignaciones de cuenta para contabilizaciones  automáticasno están bien relacionadas"/>
    <m/>
    <m/>
    <s v="Alta"/>
    <s v="Se realizará una revisión de la VKOA y la OBYC con Isabel y el departamento de finanzas_x000a_25/06/2025 - pendiente de una revisión completa con Isabel de VKOA y OBYC"/>
    <m/>
    <s v="LCC"/>
    <x v="5"/>
    <d v="2025-06-02T00:00:00"/>
    <m/>
    <m/>
    <m/>
    <s v="ES"/>
    <m/>
    <m/>
    <m/>
    <m/>
    <m/>
    <s v="N/A"/>
    <n v="8"/>
  </r>
  <r>
    <s v="MP-0115"/>
    <d v="2025-05-29T00:00:00"/>
    <m/>
    <s v="Liu Yalu"/>
    <x v="1"/>
    <s v="Incidencia"/>
    <x v="1"/>
    <s v="BLOQUE 5 – Soporte a operativa diaria SAP"/>
    <s v="Devoluciones de compras internacionales"/>
    <m/>
    <m/>
    <s v="Alta"/>
    <s v="29/05/2025: Prioridad Alta por Yalu Liu_x000a_11/06/2025 Para cerrar"/>
    <m/>
    <s v="LCC"/>
    <x v="7"/>
    <d v="2025-06-07T00:00:00"/>
    <d v="2025-06-14T00:00:00"/>
    <d v="2025-06-07T00:00:00"/>
    <m/>
    <s v="ES"/>
    <m/>
    <m/>
    <m/>
    <m/>
    <m/>
    <s v="N/A"/>
    <n v="14"/>
  </r>
  <r>
    <s v="MP-01151"/>
    <d v="2025-05-29T00:00:00"/>
    <m/>
    <s v="Liu Yalu"/>
    <x v="1"/>
    <s v="Incidencia"/>
    <x v="1"/>
    <s v="BLOQUE 5 – Soporte a operativa diaria SAP"/>
    <s v="Devoluciones de compras internacionales - Preparación de manual de usuario"/>
    <m/>
    <m/>
    <s v="Alta"/>
    <s v="29/05/2025: Prioridad Alta por Yalu Liu_x000a_10/06/2025: Realización y terminar un manual para las devoluciones europa_x000a_11/06/2025 Para cerrar"/>
    <m/>
    <s v="LCC"/>
    <x v="7"/>
    <d v="2025-06-11T00:00:00"/>
    <d v="2025-06-14T00:00:00"/>
    <d v="2025-06-07T00:00:00"/>
    <m/>
    <s v="ES"/>
    <m/>
    <m/>
    <m/>
    <m/>
    <m/>
    <s v="N/A"/>
    <n v="0"/>
  </r>
  <r>
    <s v="MP-0116"/>
    <d v="2025-05-29T00:00:00"/>
    <m/>
    <s v="Liu Yalu"/>
    <x v="1"/>
    <s v="Incidencia"/>
    <x v="1"/>
    <s v="BLOQUE 5 – Soporte a operativa diaria SAP"/>
    <s v="Atasco pedidos de compras desde Enero. Poder contabilizar los pedidos de compras"/>
    <m/>
    <m/>
    <s v="Alta"/>
    <s v="11/06/2025 Para porque MP tiene que tomar una decisión"/>
    <m/>
    <s v="LCC"/>
    <x v="1"/>
    <d v="2025-06-07T00:00:00"/>
    <d v="2025-06-14T00:00:00"/>
    <d v="2025-06-07T00:00:00"/>
    <m/>
    <s v="ES"/>
    <m/>
    <m/>
    <m/>
    <m/>
    <m/>
    <s v="N/A"/>
    <n v="2"/>
  </r>
  <r>
    <s v="MP-01161"/>
    <d v="2025-05-29T00:00:00"/>
    <m/>
    <s v="Liu Yalu"/>
    <x v="1"/>
    <s v="Incidencia"/>
    <x v="1"/>
    <s v="BLOQUE 5 – Soporte a operativa diaria SAP"/>
    <s v="Atasco pedidos de compras desde Enero. Buscar posibilidades de contabilización rápida"/>
    <m/>
    <m/>
    <s v="Alta"/>
    <s v="Carga desde Cokpit_x000a_11/06/2025 Para porque MP tiene que tomar una decisión, se envia fichero de carga"/>
    <m/>
    <s v="LCC"/>
    <x v="2"/>
    <d v="2025-06-27T00:00:00"/>
    <d v="2025-06-14T00:00:00"/>
    <d v="2025-06-07T00:00:00"/>
    <m/>
    <s v="ES"/>
    <m/>
    <m/>
    <m/>
    <m/>
    <m/>
    <s v="N/A"/>
    <n v="0"/>
  </r>
  <r>
    <s v="MP-0117"/>
    <d v="2025-05-29T00:00:00"/>
    <m/>
    <s v="Liu Yalu"/>
    <x v="1"/>
    <s v="Incidencia"/>
    <x v="1"/>
    <s v="BLOQUE 5 – Soporte a operativa diaria SAP"/>
    <s v="Revisión Maestro de materiales"/>
    <m/>
    <m/>
    <s v="Alta"/>
    <s v="18/06/2025 - tras envir los ficheros Leandro, falta corregir por parte de MP los datos erróneos_x000a_18/06/2025"/>
    <m/>
    <s v="LCC"/>
    <x v="2"/>
    <d v="2025-06-07T00:00:00"/>
    <d v="2025-06-14T00:00:00"/>
    <d v="2025-06-07T00:00:00"/>
    <m/>
    <s v="ES"/>
    <m/>
    <m/>
    <m/>
    <m/>
    <m/>
    <s v="N/A"/>
    <n v="12"/>
  </r>
  <r>
    <s v="MP-0118"/>
    <d v="2025-05-29T00:00:00"/>
    <m/>
    <s v="Lu WANG"/>
    <x v="1"/>
    <s v="Petición"/>
    <x v="2"/>
    <s v="BLOQUE 5 – Soporte a operativa diaria SAP"/>
    <s v="Revisar si la API de tipos de cambio está conectada y funcionando."/>
    <m/>
    <m/>
    <s v="Media"/>
    <s v="Ver si está funcionando y que no mete los tipos de cambio &quot;al reves&quot;. Relación con la MP-0017"/>
    <m/>
    <s v="AL"/>
    <x v="8"/>
    <m/>
    <m/>
    <m/>
    <m/>
    <s v="ES"/>
    <m/>
    <m/>
    <m/>
    <m/>
    <m/>
    <s v="N/A"/>
    <n v="0"/>
  </r>
  <r>
    <s v="MP-0119"/>
    <d v="2025-06-02T00:00:00"/>
    <m/>
    <s v="Lu WANG"/>
    <x v="1"/>
    <s v="Formación"/>
    <x v="0"/>
    <s v="BLOQUE 5 – Soporte a operativa diaria SAP"/>
    <s v="Revisar y ver posibilidades para tomar una decisión sobre la grabacion de datos del flujo de compras en SAP"/>
    <m/>
    <m/>
    <s v="Alta"/>
    <s v="02/05/2025 Se hace un workshop donde se verifica el estado actual y se ve las posibilidades de encajar la mejor forma la informaciónm financiera en el sistema de cara a las obligaciones legales, tambien se trata la ¡s devoluciones legales"/>
    <m/>
    <s v="ADM"/>
    <x v="0"/>
    <d v="2025-06-07T00:00:00"/>
    <d v="2025-06-14T00:00:00"/>
    <d v="2025-06-07T00:00:00"/>
    <m/>
    <s v="ES"/>
    <d v="2025-06-07T00:00:00"/>
    <s v="Sin retraso"/>
    <m/>
    <m/>
    <m/>
    <s v="Alto"/>
    <n v="0"/>
  </r>
  <r>
    <s v="MP-0120"/>
    <d v="2025-05-07T00:00:00"/>
    <m/>
    <s v="Lu WANG"/>
    <x v="1"/>
    <s v="Gestión"/>
    <x v="5"/>
    <s v="BLOQUE 5 – Soporte a operativa diaria SAP"/>
    <s v="Gestion del proyecto - TTE de ordenes"/>
    <m/>
    <m/>
    <s v="Alta"/>
    <s v="03/06/025 revisión de oredenes de transporte"/>
    <s v="S4/hana"/>
    <s v="M.A"/>
    <x v="5"/>
    <d v="2025-12-31T00:00:00"/>
    <d v="2025-06-14T00:00:00"/>
    <d v="2025-06-07T00:00:00"/>
    <m/>
    <s v="ES"/>
    <m/>
    <m/>
    <m/>
    <m/>
    <m/>
    <s v="N/A"/>
    <n v="5"/>
  </r>
  <r>
    <s v="MP-0121"/>
    <d v="2025-06-06T00:00:00"/>
    <m/>
    <s v="Lu WANG"/>
    <x v="1"/>
    <s v="Petición"/>
    <x v="0"/>
    <s v="BLOQUE 5 – Soporte a operativa diaria SAP"/>
    <s v="CONTABILIZAR DIRECTAMENTE EN LAS SIGUIENTES CUENTAS DE EXISTENCIAS"/>
    <m/>
    <m/>
    <s v="Alta"/>
    <s v="CONTABILIZAR DIRECTAMENTE EN LAS SIGUIENTES CUENTAS DE EXISTENCIAS_x000a_06/05/2025 Hay que coordinarse con compras para que no se contabilice la em mientras se hace el ajuste."/>
    <m/>
    <s v="AHY"/>
    <x v="0"/>
    <d v="2025-06-17T00:00:00"/>
    <d v="2025-06-14T00:00:00"/>
    <d v="2025-06-07T00:00:00"/>
    <m/>
    <s v="ES"/>
    <m/>
    <m/>
    <m/>
    <m/>
    <m/>
    <s v="N/A"/>
    <n v="7"/>
  </r>
  <r>
    <s v="MP-0122"/>
    <d v="2025-06-06T00:00:00"/>
    <m/>
    <s v="Lu WANG"/>
    <x v="1"/>
    <s v="Petición"/>
    <x v="0"/>
    <s v="BLOQUE 5 – Soporte a operativa diaria SAP"/>
    <s v="descarga ficheros movimientos bancarios."/>
    <m/>
    <m/>
    <s v="Media"/>
    <s v="descarga ficheros movimientos bancarios."/>
    <m/>
    <s v="AHY"/>
    <x v="1"/>
    <d v="2025-06-17T00:00:00"/>
    <d v="2025-06-14T00:00:00"/>
    <d v="2025-06-07T00:00:00"/>
    <m/>
    <s v="ES"/>
    <m/>
    <m/>
    <m/>
    <m/>
    <m/>
    <s v="N/A"/>
    <n v="4"/>
  </r>
  <r>
    <s v="MP-0123"/>
    <d v="2025-06-11T00:00:00"/>
    <m/>
    <s v="Lu WANG"/>
    <x v="1"/>
    <s v="Petición"/>
    <x v="3"/>
    <s v="BLOQUE 5 – Soporte a operativa diaria SAP"/>
    <s v="Copia de la clase de documento CBST"/>
    <m/>
    <m/>
    <s v="Alta"/>
    <s v="11/06/2025 Copia de la clase de documento CBST a CBAR no prevista"/>
    <m/>
    <s v="RMB"/>
    <x v="5"/>
    <d v="2025-06-26T00:00:00"/>
    <d v="2025-07-03T00:00:00"/>
    <d v="2025-06-07T00:00:00"/>
    <m/>
    <s v="ES"/>
    <m/>
    <m/>
    <m/>
    <m/>
    <m/>
    <s v="N/A"/>
    <n v="0"/>
  </r>
  <r>
    <s v="MP-0124"/>
    <d v="2025-06-06T00:00:00"/>
    <m/>
    <s v="Lu WANG"/>
    <x v="1"/>
    <s v="Petición"/>
    <x v="3"/>
    <s v="BLOQUE 5 – Soporte a operativa diaria SAP"/>
    <s v="Problema con la determinación del impuesto TTX1 en la factura de ventas"/>
    <m/>
    <m/>
    <s v="Alta"/>
    <s v="Problema con la determinación del impuesto TTX1 en la factura de ventas_x000a_06/06/2025 Se analiza y se abre_x000a_11/06/2025 Parametrizando y probando en test"/>
    <m/>
    <s v="RMB"/>
    <x v="7"/>
    <d v="2025-07-03T00:00:00"/>
    <d v="2025-07-10T00:00:00"/>
    <d v="2025-06-07T00:00:00"/>
    <m/>
    <s v="ES"/>
    <m/>
    <m/>
    <m/>
    <m/>
    <m/>
    <s v="N/A"/>
    <n v="12"/>
  </r>
  <r>
    <s v="MP-0125"/>
    <d v="2025-06-05T00:00:00"/>
    <m/>
    <s v="Lu WANG"/>
    <x v="1"/>
    <s v="Formación"/>
    <x v="5"/>
    <s v="BLOQUE 5 – Soporte a operativa diaria SAP"/>
    <s v="Explicar proceso compras internacionales"/>
    <m/>
    <m/>
    <s v="Alta"/>
    <s v="Sesión con equipo de compras"/>
    <m/>
    <s v="ADM"/>
    <x v="0"/>
    <d v="2025-06-05T00:00:00"/>
    <d v="2025-06-05T00:00:00"/>
    <d v="2025-06-05T00:00:00"/>
    <s v="Falta de formación"/>
    <s v="ES"/>
    <d v="2025-06-05T00:00:00"/>
    <s v="Sin retraso"/>
    <m/>
    <m/>
    <m/>
    <s v="N/A"/>
    <n v="3"/>
  </r>
  <r>
    <s v="MP-0126"/>
    <d v="2025-06-03T00:00:00"/>
    <m/>
    <s v="Lu WANG"/>
    <x v="1"/>
    <s v="Gestión"/>
    <x v="5"/>
    <s v="BLOQUE 5 – Soporte a operativa diaria SAP"/>
    <s v="Sesión debate de como solucionar los 5 meses de mala contabilización. Objetivo tener balances fiables de los diferentes meses."/>
    <m/>
    <m/>
    <s v="Alta"/>
    <s v="Se va a proponer un plan de acción para el mes de Junio, con el fin de empezar a funcionar correctamente el 1/07/2025_x000a_11/06/2025 Se para en torno a la decisión de MP"/>
    <m/>
    <s v="ADM"/>
    <x v="1"/>
    <d v="2025-06-05T00:00:00"/>
    <d v="2025-06-05T00:00:00"/>
    <d v="2025-06-05T00:00:00"/>
    <s v="Parado por que MP tiene que tomar una decisión"/>
    <s v="ES"/>
    <m/>
    <m/>
    <m/>
    <m/>
    <m/>
    <s v="N/A"/>
    <n v="3"/>
  </r>
  <r>
    <s v="MP-0127"/>
    <d v="2025-06-11T00:00:00"/>
    <m/>
    <s v="Liu Yalu"/>
    <x v="1"/>
    <s v="Evolutivo"/>
    <x v="1"/>
    <s v="BLOQUE 5 – Soporte a operativa diaria SAP"/>
    <s v="Extraccion de unidades de media, conversion , peso y columnes"/>
    <m/>
    <m/>
    <s v="Alta"/>
    <s v="11/06/2025 Se revisa internamente para Extraccion de unidades de media, conversion , peso y columnes_x000a_18/06/2025 Sacados y enviados ficheros de materiales."/>
    <m/>
    <s v="LCC"/>
    <x v="0"/>
    <d v="2025-06-18T00:00:00"/>
    <d v="2025-06-05T00:00:00"/>
    <d v="2025-06-05T00:00:00"/>
    <m/>
    <s v="ES"/>
    <m/>
    <m/>
    <m/>
    <m/>
    <m/>
    <s v="N/A"/>
    <n v="2"/>
  </r>
  <r>
    <s v="MP-0128"/>
    <d v="2025-06-10T00:00:00"/>
    <m/>
    <s v="Susana"/>
    <x v="1"/>
    <s v="Consulta"/>
    <x v="0"/>
    <s v="BLOQUE 5 – Soporte a operativa diaria SAP"/>
    <s v="Cliente Americano con domicilio permanente en España "/>
    <m/>
    <m/>
    <s v="Alta"/>
    <s v="10/06/2025 se analiza y se contesta marcando la directriz para realizar correctamente_x000a_11/06/2025 Se revisa y se evidencia para mandar al usuario"/>
    <m/>
    <s v="AHY"/>
    <x v="2"/>
    <d v="2025-06-10T00:00:00"/>
    <d v="2025-06-14T00:00:00"/>
    <d v="2025-06-07T00:00:00"/>
    <m/>
    <s v="ES"/>
    <m/>
    <m/>
    <m/>
    <m/>
    <m/>
    <s v="N/A"/>
    <n v="3.5"/>
  </r>
  <r>
    <s v="MP-0129"/>
    <d v="2025-06-10T00:00:00"/>
    <m/>
    <s v="Susana"/>
    <x v="1"/>
    <s v="Consulta"/>
    <x v="0"/>
    <s v="BLOQUE 5 – Soporte a operativa diaria SAP"/>
    <s v="ajustes en contabilidad "/>
    <m/>
    <m/>
    <s v="Media"/>
    <s v="10/06/2025 se analiza y se contesta para confirmar requerimiento"/>
    <m/>
    <s v="M.A"/>
    <x v="2"/>
    <d v="2025-06-10T00:00:00"/>
    <d v="2025-06-14T00:00:00"/>
    <d v="2025-06-07T00:00:00"/>
    <m/>
    <s v="ES"/>
    <m/>
    <m/>
    <m/>
    <m/>
    <m/>
    <s v="N/A"/>
    <n v="0"/>
  </r>
  <r>
    <s v="MP-0130"/>
    <d v="2025-05-19T00:00:00"/>
    <m/>
    <s v="Lu WANG"/>
    <x v="1"/>
    <s v="Formación"/>
    <x v="2"/>
    <s v="BLOQUE 5 – Soporte a operativa diaria SAP"/>
    <s v="Fomación de arquitectura de sistemas de Private cloud S4 HANA"/>
    <m/>
    <m/>
    <s v="Media"/>
    <s v="19/05/2025 se imparte 1,5 horas de formación/"/>
    <s v="S4/hana"/>
    <s v="ADM"/>
    <x v="0"/>
    <d v="2025-05-30T00:00:00"/>
    <d v="2025-06-06T00:00:00"/>
    <d v="2025-06-06T00:00:00"/>
    <m/>
    <s v="ES"/>
    <d v="2025-05-30T00:00:00"/>
    <s v="Sin retraso"/>
    <m/>
    <m/>
    <m/>
    <s v="N/A"/>
    <n v="0"/>
  </r>
  <r>
    <s v="MP-0131"/>
    <s v="09/06/2025"/>
    <m/>
    <s v="Liu CHANG"/>
    <x v="1"/>
    <s v="Petición"/>
    <x v="5"/>
    <s v="BLOQUE 5 – Soporte a operativa diaria SAP"/>
    <s v="Plan para actualizar errores de sistema"/>
    <m/>
    <m/>
    <s v="Alta"/>
    <m/>
    <m/>
    <s v="ADM"/>
    <x v="1"/>
    <s v="09/06/2025"/>
    <m/>
    <m/>
    <m/>
    <s v="ES"/>
    <m/>
    <m/>
    <m/>
    <m/>
    <m/>
    <s v="N/A"/>
    <n v="10"/>
  </r>
  <r>
    <s v="MP-0132"/>
    <d v="2025-06-17T00:00:00"/>
    <m/>
    <s v="Susana, Ana"/>
    <x v="1"/>
    <s v="Petición"/>
    <x v="0"/>
    <s v="BLOQUE 5 – Soporte a operativa diaria SAP"/>
    <s v="Creacion de cuentas de mayor 40009000002"/>
    <m/>
    <m/>
    <s v="Crítica"/>
    <s v="Creacion de cuentas de mayor 40009000002"/>
    <m/>
    <s v="AHY"/>
    <x v="0"/>
    <d v="2025-06-17T00:00:00"/>
    <d v="2025-06-24T00:00:00"/>
    <d v="2025-06-24T00:00:00"/>
    <m/>
    <m/>
    <m/>
    <m/>
    <m/>
    <m/>
    <m/>
    <s v="N/A"/>
    <n v="0"/>
  </r>
  <r>
    <s v="MP-0133"/>
    <d v="2025-06-18T00:00:00"/>
    <m/>
    <s v="Lu WANG"/>
    <x v="1"/>
    <s v="Petición"/>
    <x v="3"/>
    <s v="BLOQUE 5 – Soporte a operativa diaria SAP"/>
    <s v="Cuando un material tiene IVA 10%,_x000a_TTX1: 2_x000a_TES1: FALTA PARAMETRIZACIÓN"/>
    <m/>
    <m/>
    <s v="Alta"/>
    <s v="Cuando un material tiene IVA 10%,_x000a_TTX1: 2_x000a_TES1: FALTA PARAMETRIZACIÓN"/>
    <m/>
    <s v="RMB"/>
    <x v="6"/>
    <d v="2025-09-30T00:00:00"/>
    <d v="2025-10-07T00:00:00"/>
    <d v="2025-10-07T00:00:00"/>
    <m/>
    <m/>
    <m/>
    <m/>
    <m/>
    <m/>
    <m/>
    <s v="N/A"/>
    <n v="2"/>
  </r>
  <r>
    <s v="MP-0134"/>
    <d v="2025-06-19T00:00:00"/>
    <m/>
    <s v="Susana, Ana"/>
    <x v="1"/>
    <s v="Petición"/>
    <x v="0"/>
    <s v="BLOQUE 5 – Soporte a operativa diaria SAP"/>
    <s v="nueva cuenta 52010-58"/>
    <m/>
    <m/>
    <s v="Alta"/>
    <s v="18/06/2025 nueva cuenta 52010-58 Se transporta el martes_x000a_24/06/2025 - transportado a PRD"/>
    <m/>
    <s v="AHY"/>
    <x v="0"/>
    <d v="2025-06-24T00:00:00"/>
    <d v="2025-06-24T00:00:00"/>
    <d v="2025-06-07T00:00:00"/>
    <m/>
    <m/>
    <m/>
    <m/>
    <m/>
    <m/>
    <m/>
    <m/>
    <n v="2.5"/>
  </r>
  <r>
    <s v="MP-0135"/>
    <d v="2025-06-19T00:00:00"/>
    <m/>
    <s v="Lu WANG"/>
    <x v="1"/>
    <s v="Petición"/>
    <x v="0"/>
    <s v="BLOQUE 2 – NAV 2024"/>
    <s v="formación IT para sacar los datos llámalo (si quieres): Ayuda para elaborar Declaración de impuestos de NAV"/>
    <m/>
    <m/>
    <s v="Alta"/>
    <s v="formación IT para sacar los datos llámalo (si quieres): Ayuda para elaborar Declaración de impuestos de NAV"/>
    <m/>
    <s v="AHY"/>
    <x v="0"/>
    <d v="2025-06-24T00:00:00"/>
    <d v="2025-07-03T00:00:00"/>
    <d v="2025-06-07T00:00:00"/>
    <m/>
    <m/>
    <m/>
    <m/>
    <m/>
    <m/>
    <m/>
    <m/>
    <n v="0"/>
  </r>
  <r>
    <s v="MP-0136"/>
    <d v="2025-06-19T00:00:00"/>
    <m/>
    <s v="Susana"/>
    <x v="1"/>
    <s v="Petición"/>
    <x v="0"/>
    <s v="BLOQUE 5 – Soporte a operativa diaria SAP"/>
    <s v="CUENTAS DE DIFERENCIAS DE CAMBIO "/>
    <m/>
    <m/>
    <s v="Alta"/>
    <s v="CUENTAS DE DIFERENCIAS DE CAMBIO "/>
    <m/>
    <s v="AHY"/>
    <x v="2"/>
    <d v="2025-06-24T00:00:00"/>
    <d v="2025-07-03T00:00:00"/>
    <d v="2025-06-07T00:00:00"/>
    <m/>
    <m/>
    <m/>
    <m/>
    <m/>
    <m/>
    <m/>
    <m/>
    <n v="0"/>
  </r>
  <r>
    <s v="MP-0137"/>
    <d v="2025-06-19T00:00:00"/>
    <m/>
    <s v="Susana"/>
    <x v="1"/>
    <s v="Petición"/>
    <x v="0"/>
    <s v="BLOQUE 5 – Soporte a operativa diaria SAP"/>
    <s v="Tengo que contabilizar un anticipo a un proveedor y no sé como hacerlo."/>
    <m/>
    <m/>
    <s v="Alta"/>
    <s v="Tengo que contabilizar un anticipo a un proveedor y no sé como hacerlo._x000a_20/06/2025 - dadas las explicacioes y entendido por Susana."/>
    <m/>
    <s v="AHY"/>
    <x v="0"/>
    <d v="2025-06-20T00:00:00"/>
    <d v="2025-06-20T00:00:00"/>
    <d v="2025-06-07T00:00:00"/>
    <m/>
    <m/>
    <m/>
    <m/>
    <m/>
    <m/>
    <m/>
    <m/>
    <n v="1"/>
  </r>
  <r>
    <s v="MP-0138"/>
    <d v="2025-06-20T00:00:00"/>
    <m/>
    <s v="Lu WANG"/>
    <x v="1"/>
    <s v="Consulta"/>
    <x v="0"/>
    <s v="BLOQUE 5 – Soporte a operativa diaria SAP"/>
    <s v="DARIO DO facturas EUR/EUR0"/>
    <m/>
    <m/>
    <s v="Baja"/>
    <s v="DIARIO DO facturas EUR/EUR0"/>
    <m/>
    <s v="AHY"/>
    <x v="2"/>
    <d v="2025-06-24T00:00:00"/>
    <d v="2025-07-03T00:00:00"/>
    <d v="2025-06-07T00:00:00"/>
    <m/>
    <m/>
    <m/>
    <m/>
    <m/>
    <m/>
    <m/>
    <m/>
    <n v="1"/>
  </r>
  <r>
    <s v="MP-0139"/>
    <d v="2025-06-21T00:00:00"/>
    <m/>
    <s v="Susana"/>
    <x v="1"/>
    <s v="Incidencia"/>
    <x v="6"/>
    <s v="BLOQUE 5 – Soporte a operativa diaria SAP"/>
    <s v="Errores del SII"/>
    <m/>
    <m/>
    <s v="Baja"/>
    <s v="Recordad a Ricardo"/>
    <m/>
    <s v="AHY"/>
    <x v="0"/>
    <d v="2025-06-24T00:00:00"/>
    <d v="2025-07-03T00:00:00"/>
    <d v="2025-06-07T00:00:00"/>
    <m/>
    <m/>
    <m/>
    <m/>
    <m/>
    <m/>
    <m/>
    <m/>
    <n v="1"/>
  </r>
  <r>
    <s v="MP-0140"/>
    <d v="2025-06-24T00:00:00"/>
    <m/>
    <s v="Ana"/>
    <x v="1"/>
    <s v="Petición"/>
    <x v="0"/>
    <s v="BLOQUE 5 – Soporte a operativa diaria SAP"/>
    <s v="ALTA NUEVAS CUENTAS CONTABLES"/>
    <m/>
    <m/>
    <s v="Baja"/>
    <s v="25/06/2025 - se procede a la creación de las cuentas"/>
    <m/>
    <s v="AHY"/>
    <x v="0"/>
    <d v="2025-06-26T00:00:00"/>
    <d v="2025-07-01T00:00:00"/>
    <m/>
    <m/>
    <m/>
    <m/>
    <m/>
    <m/>
    <m/>
    <m/>
    <m/>
    <n v="0"/>
  </r>
  <r>
    <s v="MP-0141"/>
    <s v="25/06/205"/>
    <m/>
    <s v="Lu WANG"/>
    <x v="1"/>
    <s v="Petición"/>
    <x v="0"/>
    <s v="BLOQUE 5 – Soporte a operativa diaria SAP"/>
    <s v="Declaración de impuestos sobre ventas/compras (libros de IvA que no emite Navisión) Petición por IT"/>
    <m/>
    <m/>
    <s v="Alta"/>
    <s v="25/06/2025 - Se procede al análisis de los ficheros"/>
    <m/>
    <s v="M.A"/>
    <x v="2"/>
    <d v="2025-07-01T00:00:00"/>
    <m/>
    <m/>
    <m/>
    <m/>
    <m/>
    <m/>
    <m/>
    <m/>
    <m/>
    <m/>
    <n v="15.5"/>
  </r>
  <r>
    <s v="MP-0142"/>
    <s v="27/06/205"/>
    <m/>
    <s v="Liu Yalu"/>
    <x v="1"/>
    <s v="Petición"/>
    <x v="1"/>
    <s v="BLOQUE 5 – Soporte a operativa diaria SAP"/>
    <s v="Condicion de precios en compras para los descuentos"/>
    <m/>
    <m/>
    <s v="Sin prioridad"/>
    <s v="Condicion de precios en compras para los descuentos"/>
    <m/>
    <s v="LCC"/>
    <x v="5"/>
    <d v="2025-07-01T00:00:00"/>
    <d v="2025-07-08T00:00:00"/>
    <d v="2025-07-08T00:00:00"/>
    <m/>
    <m/>
    <m/>
    <m/>
    <m/>
    <m/>
    <m/>
    <m/>
    <n v="6"/>
  </r>
  <r>
    <s v="MP-0143"/>
    <s v="27/06/205"/>
    <m/>
    <s v="Liu Yalu"/>
    <x v="1"/>
    <s v="Petición"/>
    <x v="6"/>
    <s v="BLOQUE 5 – Soporte a operativa diaria SAP"/>
    <s v="Hemos detectado un error en el PDF generado para facturas de tipo G2."/>
    <m/>
    <m/>
    <s v="Sin prioridad"/>
    <s v="Hemos detectado un error en el PDF generado para facturas de tipo G2."/>
    <m/>
    <s v="M.A"/>
    <x v="5"/>
    <m/>
    <m/>
    <m/>
    <m/>
    <m/>
    <m/>
    <m/>
    <m/>
    <m/>
    <m/>
    <m/>
    <n v="11"/>
  </r>
  <r>
    <s v="MP-0144"/>
    <s v="27/06/205"/>
    <m/>
    <s v="Ana"/>
    <x v="1"/>
    <s v="Petición"/>
    <x v="0"/>
    <s v="BLOQUE 5 – Soporte a operativa diaria SAP"/>
    <s v="Verificar un PYG y un balance"/>
    <m/>
    <m/>
    <s v="Sin prioridad"/>
    <s v="Verificar un PYG y un balance"/>
    <m/>
    <s v="M.A"/>
    <x v="2"/>
    <m/>
    <m/>
    <m/>
    <m/>
    <m/>
    <m/>
    <m/>
    <m/>
    <m/>
    <m/>
    <m/>
    <n v="2"/>
  </r>
  <r>
    <s v="MP-0145"/>
    <s v="27/06/205"/>
    <m/>
    <s v="Ana"/>
    <x v="1"/>
    <s v="Petición"/>
    <x v="0"/>
    <s v="BLOQUE 5 – Soporte a operativa diaria SAP"/>
    <s v="Verificar el email las 12 cuentas. ALTA NUEVAS CUENTAS CONTABLES"/>
    <m/>
    <m/>
    <s v="Sin prioridad"/>
    <s v="Verificar el email las 12 cuentas. ALTA NUEVAS CUENTAS CONTABLES"/>
    <m/>
    <s v="AHY"/>
    <x v="5"/>
    <m/>
    <m/>
    <m/>
    <m/>
    <m/>
    <m/>
    <m/>
    <m/>
    <m/>
    <m/>
    <m/>
    <n v="0.5"/>
  </r>
  <r>
    <s v="MP-0146"/>
    <s v="27/06/205"/>
    <m/>
    <s v="Luna"/>
    <x v="1"/>
    <s v="Petición"/>
    <x v="6"/>
    <s v="BLOQUE 5 – Soporte a operativa diaria SAP"/>
    <s v="NOTA DE CREDITO con numeración automática."/>
    <m/>
    <m/>
    <s v="Sin prioridad"/>
    <s v="NOTA DE CREDITO con numeración automática."/>
    <m/>
    <s v="M.A"/>
    <x v="2"/>
    <m/>
    <m/>
    <m/>
    <m/>
    <m/>
    <m/>
    <m/>
    <m/>
    <m/>
    <m/>
    <m/>
    <n v="2"/>
  </r>
  <r>
    <s v="MP-0147"/>
    <s v="27/06/206"/>
    <m/>
    <s v="Isabel"/>
    <x v="1"/>
    <s v="Petición"/>
    <x v="0"/>
    <s v="BLOQUE 5 – Soporte a operativa diaria SAP"/>
    <s v="Bloquear cuentas 7010000001 Venta prod. term._x000a_7010000002 VTAS. prod. UE_x000a_7010000003 VTAS. prod. inter_x000a_7010000004 VTAS. prod. Can-CEU_x000a_7010000005 Ven pr. term emp gr"/>
    <m/>
    <m/>
    <s v="Sin prioridad"/>
    <s v="Bloquear cuentas 7010000001 Venta prod. term._x000a_7010000002 VTAS. prod. UE_x000a_7010000003 VTAS. prod. inter_x000a_7010000004 VTAS. prod. Can-CEU_x000a_7010000005 Ven pr. term emp gr"/>
    <m/>
    <s v="M.A"/>
    <x v="0"/>
    <s v="01/0/2025"/>
    <d v="2025-07-01T00:00:00"/>
    <d v="2025-07-01T00:00:00"/>
    <m/>
    <m/>
    <s v="01/0/2025"/>
    <m/>
    <m/>
    <m/>
    <m/>
    <s v="N/A"/>
    <n v="0"/>
  </r>
  <r>
    <s v="MP-0148"/>
    <s v="30/06/207"/>
    <m/>
    <s v="Isabel"/>
    <x v="1"/>
    <s v="Petición"/>
    <x v="0"/>
    <s v="BLOQUE 5 – Soporte a operativa diaria SAP"/>
    <s v="El cliente 10017657 no puede ser debitado correctamente, ya que al subir el fichero al banco. Adjunto en este correo tanto el mensaje de error recibido por parte del banco como el fichero(T264) que ha sido rechazado, para su revisión._x000a__x000a_Agradezco de antemano su atención a estos casos y quedo atento a cualquier indicación o solución que puedan ofrecer._x000a__x000a_Un saludo,"/>
    <m/>
    <m/>
    <s v="Sin prioridad"/>
    <s v="El cliente 10017657 no puede ser debitado correctamente, ya que al subir el fichero al banco. Adjunto en este correo tanto el mensaje de error recibido por parte del banco como el fichero(T264) que ha sido rechazado, para su revisión._x000a__x000a_Agradezco de antemano su atención a estos casos y quedo atento a cualquier indicación o solución que puedan ofrecer._x000a__x000a_Un saludo,"/>
    <m/>
    <s v="AHY"/>
    <x v="0"/>
    <d v="2025-07-02T00:00:00"/>
    <d v="2025-07-02T00:00:00"/>
    <d v="2025-07-02T00:00:00"/>
    <m/>
    <m/>
    <d v="2025-07-02T00:00:00"/>
    <m/>
    <m/>
    <m/>
    <m/>
    <m/>
    <n v="0.5"/>
  </r>
  <r>
    <s v="MP-0149"/>
    <d v="2025-07-02T00:00:00"/>
    <m/>
    <s v="Lu WANG"/>
    <x v="1"/>
    <s v="Petición"/>
    <x v="0"/>
    <s v="BLOQUE 5 – Soporte a operativa diaria SAP"/>
    <s v="Periodod logísitcos apertura - Crear JOB"/>
    <m/>
    <m/>
    <s v="Media"/>
    <m/>
    <m/>
    <s v="LCC"/>
    <x v="0"/>
    <d v="2025-07-01T00:00:00"/>
    <d v="2025-07-01T00:00:00"/>
    <d v="2025-07-01T00:00:00"/>
    <m/>
    <m/>
    <d v="2025-07-01T00:00:00"/>
    <m/>
    <m/>
    <m/>
    <m/>
    <m/>
    <n v="0"/>
  </r>
  <r>
    <s v="MP-0150"/>
    <d v="2025-07-02T00:00:00"/>
    <m/>
    <s v="Lu WANG"/>
    <x v="1"/>
    <s v="Petición"/>
    <x v="0"/>
    <s v="BLOQUE 5 – Soporte a operativa diaria SAP"/>
    <s v="creación de cuentas de mayor de IBANFirst, y que la incidencia de EBURY nos vuelva a nuestro tejado para poder imputar:_x000a_Voy a crear el banco para EBURY y luego crear las cuentas de mayor asociadas a este banco (Modificar MP-0086 en nuestro tejado)_x000a_Tengo que crear 12 cuentas de mayor para IBANFIRST y modificar el dato maestro del banco para que apunte a las cuentas de mayor que voy a crear ahora (crear ticket nuevo o meter las modificaciones en ticket existente de creación de ctas de mayor)"/>
    <m/>
    <m/>
    <s v="Sin prioridad"/>
    <s v="creación de cuentas de mayor de IBANFirst, y que la incidencia de EBURY nos vuelva a nuestro tejado para poder imputar:_x000a_Voy a crear el banco para EBURY y luego crear las cuentas de mayor asociadas a este banco (Modificar MP-0086 en nuestro tejado)_x000a_Tengo que crear 12 cuentas de mayor para IBANFIRST y modificar el dato maestro del banco para que apunte a las cuentas de mayor que voy a crear ahora (crear ticket nuevo o meter las modificaciones en ticket existente de creación de ctas de mayor)"/>
    <m/>
    <s v="LJS"/>
    <x v="0"/>
    <d v="2025-07-01T00:00:00"/>
    <d v="2025-07-01T00:00:00"/>
    <d v="2025-07-01T00:00:00"/>
    <m/>
    <m/>
    <d v="2025-07-01T00:00:00"/>
    <m/>
    <m/>
    <m/>
    <m/>
    <m/>
    <n v="0"/>
  </r>
  <r>
    <s v="MP-0151"/>
    <d v="2025-07-02T00:00:00"/>
    <m/>
    <s v="Lu WANG"/>
    <x v="1"/>
    <s v="Petición"/>
    <x v="0"/>
    <s v="BLOQUE 5 – Soporte a operativa diaria SAP"/>
    <s v="Factura rectificativa subida al SII, Siguiendo el ejemplo abajo, tenemos otro caso La factura rectificativa 90016889 aparece errónea en el SII con el número de la factura que rectifica ES25019417._x000a_No debe subir al SII numero factura venta, cuando estamos emitiendo una factura rectificativa."/>
    <m/>
    <m/>
    <s v="Crítica"/>
    <s v="Factura rectificativa subida al SII, Siguiendo el ejemplo abajo, tenemos otro caso La factura rectificativa 90016889 aparece errónea en el SII con el número de la factura que rectifica ES25019417._x000a_No debe subir al SII numero factura venta, cuando estamos emitiendo una factura rectificativa."/>
    <m/>
    <s v="AHY"/>
    <x v="0"/>
    <d v="2025-07-13T00:00:00"/>
    <d v="2025-07-13T00:00:00"/>
    <d v="2025-07-13T00:00:00"/>
    <m/>
    <m/>
    <d v="2025-07-10T00:00:00"/>
    <m/>
    <m/>
    <m/>
    <m/>
    <m/>
    <n v="0"/>
  </r>
  <r>
    <s v="MP-0152"/>
    <d v="2025-05-07T00:00:00"/>
    <m/>
    <s v="Liu Yalu"/>
    <x v="1"/>
    <s v="Petición"/>
    <x v="7"/>
    <s v="BLOQUE 5 – Soporte a operativa diaria SAP"/>
    <s v="CÓMO AÑADIR COSTE DE MANO DE OBRA"/>
    <m/>
    <m/>
    <s v="Alta"/>
    <s v="CÓMO AÑADIR COSTE DE MANO DE OBRA"/>
    <m/>
    <s v="LCC"/>
    <x v="7"/>
    <d v="2025-07-13T00:00:00"/>
    <d v="2025-07-13T00:00:00"/>
    <d v="2025-07-13T00:00:00"/>
    <m/>
    <m/>
    <d v="2025-07-10T00:00:00"/>
    <m/>
    <m/>
    <m/>
    <m/>
    <m/>
    <n v="0"/>
  </r>
  <r>
    <s v="MP-0153"/>
    <d v="2025-05-09T00:00:00"/>
    <m/>
    <s v="Liu Yalu"/>
    <x v="1"/>
    <s v="Petición"/>
    <x v="7"/>
    <s v="BLOQUE 5 – Soporte a operativa diaria SAP"/>
    <s v="Solicitud de ayuda con error al realizar compensar pago para el cliente 10021163"/>
    <m/>
    <m/>
    <s v="Alta"/>
    <s v="CÓMO AÑADIR COSTE DE MANO DE OBRA"/>
    <m/>
    <s v="LCC"/>
    <x v="0"/>
    <d v="2025-07-13T00:00:00"/>
    <d v="2025-07-13T00:00:00"/>
    <d v="2025-07-13T00:00:00"/>
    <m/>
    <m/>
    <d v="2025-07-10T00:00:00"/>
    <m/>
    <m/>
    <m/>
    <m/>
    <m/>
    <n v="0"/>
  </r>
  <r>
    <s v="MP-0154"/>
    <d v="2025-05-09T00:00:00"/>
    <m/>
    <s v="Liu Yalu"/>
    <x v="1"/>
    <s v="Petición"/>
    <x v="7"/>
    <s v="BLOQUE 5 – Soporte a operativa diaria SAP"/>
    <s v="Creación de cuentas y desasignación de cuentas"/>
    <m/>
    <m/>
    <s v="Crítica"/>
    <s v="Creación de cuentas y desasignación de cuentas"/>
    <m/>
    <s v="M.A"/>
    <x v="0"/>
    <d v="2025-07-13T00:00:00"/>
    <d v="2025-07-13T00:00:00"/>
    <d v="2025-07-13T00:00:00"/>
    <m/>
    <m/>
    <d v="2025-07-10T00:00:00"/>
    <m/>
    <m/>
    <m/>
    <m/>
    <m/>
    <n v="0"/>
  </r>
  <r>
    <s v="MP-0155"/>
    <d v="2025-05-09T00:00:00"/>
    <m/>
    <s v="Liu Yalu"/>
    <x v="1"/>
    <s v="Petición"/>
    <x v="7"/>
    <s v="BLOQUE 5 – Soporte a operativa diaria SAP"/>
    <s v="Problema sobre el campo ZCRM"/>
    <m/>
    <m/>
    <s v="Alta"/>
    <s v="Problema sobre el campo ZCRM"/>
    <m/>
    <s v="M.A"/>
    <x v="5"/>
    <d v="2025-07-13T00:00:00"/>
    <d v="2025-07-13T00:00:00"/>
    <d v="2025-07-13T00:00:00"/>
    <m/>
    <m/>
    <m/>
    <m/>
    <m/>
    <m/>
    <m/>
    <m/>
    <n v="0"/>
  </r>
  <r>
    <s v="MP-0156"/>
    <d v="2025-05-09T00:00:00"/>
    <m/>
    <s v="Liu Yalu"/>
    <x v="1"/>
    <s v="Petición"/>
    <x v="7"/>
    <s v="BLOQUE 5 – Soporte a operativa diaria SAP"/>
    <s v="MP- autonomo tiene retención"/>
    <m/>
    <m/>
    <s v="Alta"/>
    <s v="MP- autonomo tiene retención"/>
    <m/>
    <s v="M.A"/>
    <x v="0"/>
    <d v="2025-07-13T00:00:00"/>
    <d v="2025-07-13T00:00:00"/>
    <d v="2025-07-13T00:00:00"/>
    <m/>
    <m/>
    <d v="2025-07-10T00:00:00"/>
    <m/>
    <m/>
    <m/>
    <m/>
    <m/>
    <n v="0"/>
  </r>
  <r>
    <s v="MP-0157"/>
    <d v="2025-07-11T00:00:00"/>
    <m/>
    <s v="Lu WANG"/>
    <x v="1"/>
    <s v="Formación"/>
    <x v="5"/>
    <s v="BLOQUE 5 – Soporte a operativa diaria SAP"/>
    <s v="Formación TODO"/>
    <m/>
    <m/>
    <s v="Alta"/>
    <s v="Formación TODO"/>
    <m/>
    <s v="M.A"/>
    <x v="0"/>
    <m/>
    <m/>
    <m/>
    <m/>
    <m/>
    <m/>
    <m/>
    <m/>
    <m/>
    <m/>
    <m/>
    <n v="0"/>
  </r>
  <r>
    <s v="MP-0000"/>
    <d v="2025-05-07T00:00:00"/>
    <m/>
    <s v="Lu WANG"/>
    <x v="1"/>
    <s v="Gestión"/>
    <x v="5"/>
    <s v="BLOQUE 5 – Soporte a operativa diaria SAP"/>
    <s v="Gestion del proyecto_x000a_7010000001 Venta prod. term._x000a_7010000002 VTAS. prod. UE_x000a_7010000003 VTAS. prod. inter_x000a_7010000004 VTAS. prod. Can-CEU_x000a_7010000005 Ven pr. term emp gr_x000a_7000000005 (Ventas merc emp grup)"/>
    <m/>
    <m/>
    <s v="Alta"/>
    <s v="12/05/2025 Comité seguimiento._x000a_16/06/2025 Definición de procesos._x000a_                      Gestion de recursos._x000a_                      Gestion de Carpetas._x000a_19/05/2025 Reunión y realizacion de Acta_x000a_26/05/2025 Gestion interna/_x000a_27/05/2025 Comité de seguimiento y acta 2h_x000a_28/05/2025 Confirmción de consultor de ventas._x000a_30/05/2025 Mandada la presencialidad y dedicación_x000a_05/06/2025 Revisión de incidencias Cerradas_x000a_05/06/2025 Confirmacion de procesos financieros_x000a_11/06/2025 Revisión de incidencias 3h"/>
    <s v="S4/hana"/>
    <s v="ADM"/>
    <x v="5"/>
    <d v="2025-12-31T00:00:00"/>
    <d v="2025-06-14T00:00:00"/>
    <d v="2025-06-07T00:00:00"/>
    <m/>
    <s v="ES"/>
    <d v="2025-07-10T00:00:00"/>
    <s v="Sin retraso"/>
    <m/>
    <m/>
    <m/>
    <s v="N/A"/>
    <n v="14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s v="MP-0001"/>
    <d v="2025-04-28T00:00:00"/>
    <s v="Ana, Marta, Susana, Luna"/>
    <s v="Isabel, Felipe"/>
    <s v="Incidencia"/>
    <s v="Proyecto"/>
    <x v="0"/>
    <x v="0"/>
    <s v="Cierre contable 2024 - Extraccion de Información"/>
    <s v="2024年财务关账"/>
    <m/>
    <s v="Alta"/>
    <s v="29/04/2025 MA: Se ha hecho una primera reunión donde se pide cierta información y la estructua del fichero._x000a_05/05/2025 MA: Clientes - Pendiente, se ha pedido mas información , incluir el indicador de iVA y las cuentas del grupo 7 para casar con la BI del albaran_x000a_                               Proveedores - En proceso, ha habido una confusión de fechas_x000a_                               Caja - Entregado._x000a_                               Bancos - Entregado._x000a_06/05/2025 MA: Clientes - Pendiente, se ha pedido mas información , incluir el indicador de iVA y el diario de las cuentas del grupo 7 para casar con la BI del albaran._x000a_08/05/2025 Se pide que se extraiga la factura de diciembre , nº documento , importe, II , BI para casar con las facturas enviadas al SII._x000a_12/05/2025 A lo largo del día de hoy se envia albaranes on clo que se ha reportado en el SII._x000a_                       Revisado 2024 y enviar durante la mañana._x000a_13/05/2025 Se ha enviado los siguiente conceotos que se han pedido:_x000a_                      - Proveedores, para realizar la provisión._x000a_                      - Partidas individuales de Caja y cliente._x000a_                      - Partidas de clientes 2024 y 2025 cruzando con la información enviada al SII._x000a_                                    Alabranes Facturados._x000a_                                    Albaranes sin facturar_x000a_14/05/2025 Se pide que se identifique los documentos del SII anulados._x000a_16/05/2025 Cruzado los documentos que se han anulado y han sido enviados al SII._x000a_                       Añadir el campo ceco al fichero de caja hecho_x000a_                       Recibidos ficheros del primer trimestre para documentos de diciembre_x000a_                       G1: Facturas contabilizadas en diciembre 24 y con albarán en diciembre 24 presentadas al SII._x000a_                       G2: Facturas contabilizadas en enero 25 y con albarán en diciembre 24 presentadas al SII._x000a_                       G3: Facturas contabilizadas en diciembre 24 y con albarán en diciembre 24 NO presentadas al SII._x000a_                       G4: Facturas contabilizadas en enero 25 y con albarán en diciembre 24 NO presentadas al SII._x000a_Grupo 1 con el formato solicitado hoy por @Lu Wang para probar a cargarlo en Navision_x000a_CONFIRMAR CON ISABEL SI NECESITA ALGUNA EXTRACCIÓN ADICIONL_x000a_19/05/2025 Susan manda un numero de 233 facturas que no deben de tenerse en cuenta porque son facturas rectificativas o periodificaciones_x000a_Se resume el siguiente avance:_x000a_G1: Facturas contabilizadas en diciembre 24 y con albarán en diciembre 24 presentadas al SII. Grupo ok, contabilizar ya en Navision. Quedo al pendiente de confirmación de la carga en Navision_x000a_G2: Facturas contabilizadas en enero 25 y con albarán en diciembre 24 presentadas al SII. Si están en el SII en 25, necesito saber el importe, para que la dirección decida. El importe total de este grupo es: 468.671,50€_x000a_G3: Facturas contabilizadas en diciembre 24 y con albarán en diciembre 24 NO presentadas al SII. Grupo ok, contabilizar en Navision. Ojo, no duplicar facturas. Revisaré este grupo por cliente e importe, os informaré en cuanto tenga alguna novedad._x000a_G4: Facturas contabilizadas en enero 25 y con albarán en diciembre 24 NO presentadas al SII. Depende del importe. Decidir dirección. El importe total de este grupo es: 205.721,80€  _x000a_20/05/2025 Nueva extracción a la espera de estos G2 Facturas contabilizadas en enero 25 y con albarán en diciembre 24 presentadas al SII_x000a_G4 Facturas contabilizadas en enero 25 y con albarán en diciembre 24 NO presentadas al SII_x000a_20/05/2025 se elimina la primera fecha de entrga 19/05/2025_x000a_21/05/2025 Se analiza revisión por parte de MP y se incorpora al envio el G7_x000a_                      Se revisa las preguntas sobre la extraccion ya que surgen muchas sin resolver_x000a_21/05/2025 Se solicita informacion y se envia los documentos listos para subiar a navision_x000a_26/05/2025 Revisando albaranes -/Extrayendo albaranes de 2025, enviados al SII y facturados en el 2024 identificado el viernes por Amal._x000a_28/05/2025 Extracción de datos_x000a_02/06/2025 Se cierra la incidencia"/>
    <s v="S4/hana"/>
    <s v="AHY"/>
    <x v="0"/>
    <d v="2025-05-25T00:00:00"/>
    <d v="2025-05-26T00:00:00"/>
    <d v="2025-05-26T00:00:00"/>
    <s v="Petición adicional por parte de MP"/>
    <s v="ES"/>
    <d v="2025-06-02T00:00:00"/>
    <s v="Nuevos Requerimientos"/>
    <s v="No"/>
    <s v="Proceso"/>
    <n v="1"/>
    <s v="Medio"/>
    <n v="49"/>
    <s v="Extrayendo albaranes de 2025, enviados al SII y facturados en el 2024 identificado el viernes por Amal."/>
    <m/>
    <s v="Entregado todo lo requerido"/>
    <s v="Confirmar para cerrar"/>
    <s v="Proced. MP"/>
    <s v="Altim"/>
  </r>
  <r>
    <s v="MP-00011"/>
    <d v="2025-05-14T00:00:00"/>
    <s v="Ana, Marta, Susana, Luna"/>
    <s v="Isabel, Felipe"/>
    <m/>
    <s v="Proyecto"/>
    <x v="0"/>
    <x v="1"/>
    <s v="Cierre contable 2024 - Manipulacion de ficheros para cargar en navision de información extraida"/>
    <s v="2024年财务关账"/>
    <m/>
    <s v="Alta"/>
    <s v="16/05/2025 Manipulación de ficheros a cargar en Navisión, se ha entregado 1 grupo específico , se esta confirmando dicha información._x000a_21/06/2025 Se cambia la fecha de entrega por si es necesario modificar ficheros/Entregados todos los ficheros_x000a_28/05/2025 Extracción de datos_x000a_02/06/2025 Se cierra"/>
    <s v="S4/hana"/>
    <s v="AHY"/>
    <x v="0"/>
    <d v="2025-06-02T00:00:00"/>
    <d v="2025-06-09T00:00:00"/>
    <d v="2025-06-09T00:00:00"/>
    <s v="Petición adicional por parte de MP"/>
    <s v="ES"/>
    <d v="2025-06-02T00:00:00"/>
    <s v="Sin retraso"/>
    <m/>
    <m/>
    <n v="1"/>
    <s v="Medio"/>
    <n v="39"/>
    <s v="Entregados todos los ficheros"/>
    <m/>
    <s v="Transformado todos los fichero requeridos"/>
    <d v="1899-12-30T00:00:00"/>
    <s v="Proced. MP"/>
    <s v="Altim"/>
  </r>
  <r>
    <s v="MP-00012"/>
    <d v="2025-05-20T00:00:00"/>
    <s v="Ana, Marta, Susana, Luna"/>
    <s v="Isabel, Felipe"/>
    <m/>
    <s v="Proyecto"/>
    <x v="0"/>
    <x v="0"/>
    <s v="Cierre contable 2024 - Información SII"/>
    <s v="2024年财务关账"/>
    <m/>
    <s v="Alta"/>
    <s v="21/05/2025 Se solicita informacion y se envia los documentos listos para subiar a navision_x000a_22/05/2025 Realizado/Cerrada_x000a_28/05/2025 Extracción de datos_x000a_02/06/2025 Se cierra"/>
    <s v="S4/hana"/>
    <s v="AHY"/>
    <x v="0"/>
    <d v="2025-05-31T00:00:00"/>
    <d v="2025-06-07T00:00:00"/>
    <d v="2025-06-07T00:00:00"/>
    <m/>
    <s v="ES"/>
    <d v="2025-06-02T00:00:00"/>
    <s v="Sin retraso"/>
    <m/>
    <m/>
    <n v="1"/>
    <s v="Medio"/>
    <n v="29.5"/>
    <s v="Cerrada"/>
    <m/>
    <s v="Extraida la información solicitada y cruzada con el SII"/>
    <d v="1899-12-30T00:00:00"/>
    <s v="Proced. MP"/>
    <s v="Altim"/>
  </r>
  <r>
    <s v="MP-00013"/>
    <d v="2025-05-21T00:00:00"/>
    <s v="Ana, Marta, Susana, Luna"/>
    <s v="Isabel"/>
    <m/>
    <s v="Proyecto"/>
    <x v="0"/>
    <x v="2"/>
    <s v="Cierre contable 2024 - Carga de Saldos en SAP"/>
    <s v="2024年财务关账"/>
    <m/>
    <s v="Alta"/>
    <s v="22/05/2025 Se abre para registrar los saldos en SAP despues del cierre/_x000a_28/05/2028 Se replanifica porque se ha entrado el 28/05 la carga en vavisión."/>
    <s v="S4/hana"/>
    <s v="AHY"/>
    <x v="1"/>
    <m/>
    <m/>
    <m/>
    <s v="Se identifica los requerimientos poco a poco y se replanifcia la carga de saldos pendiente de confirmar que es necesario cargar."/>
    <s v="ES"/>
    <m/>
    <s v="Revision por parte de MP"/>
    <m/>
    <s v="Proceso"/>
    <n v="1"/>
    <s v="Medio"/>
    <n v="0"/>
    <m/>
    <m/>
    <m/>
    <e v="#N/A"/>
    <s v="Proced. MP"/>
    <s v="MP"/>
  </r>
  <r>
    <s v="MP-00014"/>
    <d v="2025-02-03T00:00:00"/>
    <m/>
    <s v="Susana, Ana"/>
    <m/>
    <s v="Proyecto"/>
    <x v="0"/>
    <x v="2"/>
    <s v="facturas de fecha de asiento contable 31/12/2024 contabilizadas del 01/01/2025 a 30/03/2025. Peridodificaciones"/>
    <m/>
    <m/>
    <s v="Alta"/>
    <s v="03/06/2025 de las periodificaciones del 2024 de proveedores hemos visto que no tenemos facturas contabilizadas a 31/12/2024._x000a_04/06/2025 Se entrega el fichero_x000a__x000a_ _x000a__x000a_Por favor podéis revisar el fichero y mandarme las facturas de fecha de siento contable 31/12/2024 contabilizadas del 01/01/2025 a 30/03/2025._x000a__x000a_ _x000a__x000a_ "/>
    <m/>
    <s v="AHY"/>
    <x v="0"/>
    <d v="2025-06-05T00:00:00"/>
    <d v="2025-06-12T00:00:00"/>
    <d v="2025-06-12T00:00:00"/>
    <m/>
    <s v="ES"/>
    <d v="2025-06-05T00:00:00"/>
    <s v="Sin retraso"/>
    <m/>
    <m/>
    <m/>
    <s v="N/A"/>
    <n v="6"/>
    <m/>
    <m/>
    <m/>
    <m/>
    <m/>
    <s v="Altim"/>
  </r>
  <r>
    <s v="MP-00015"/>
    <d v="2025-06-10T00:00:00"/>
    <m/>
    <s v="Isabel"/>
    <m/>
    <s v="Proyecto"/>
    <x v="0"/>
    <x v="1"/>
    <s v="Cierre y ajustes en Navisión"/>
    <m/>
    <m/>
    <s v="Alta"/>
    <s v="10/06/2025 Abrimos esta incidencia para hacer seguimiento del cierre de navisión"/>
    <m/>
    <s v="M.A"/>
    <x v="2"/>
    <d v="2025-06-30T00:00:00"/>
    <d v="2025-07-07T00:00:00"/>
    <d v="2025-07-07T00:00:00"/>
    <m/>
    <s v="ES"/>
    <m/>
    <m/>
    <m/>
    <m/>
    <m/>
    <s v="Medio"/>
    <n v="0.5"/>
    <m/>
    <m/>
    <m/>
    <m/>
    <s v="Proced. MP"/>
    <s v="MP"/>
  </r>
  <r>
    <s v="MP-0002"/>
    <d v="2025-04-28T00:00:00"/>
    <s v="Ana"/>
    <s v="Isabel"/>
    <s v="Incidencia"/>
    <s v="Evolutivo"/>
    <x v="1"/>
    <x v="3"/>
    <s v="Contabilización de costes indirectos en las compras de importación, flete, arancelario etc"/>
    <s v="进口采购单，海运费，关税，等的成本分摊记账"/>
    <m/>
    <s v="Alta"/>
    <s v="08/05/2025 Revisión de las condiciones de venrtas que condicionan los impuestos al precio del producto. Es necesario involucrar recursos de ventas./_x000a_28/05/2025 El 27 de mayo se confirma introducir a un recurso de ventas que tiene que verificar y replanificar según la carga de trabajo y prioridad que de MP."/>
    <s v="S4/hana"/>
    <s v="M.A"/>
    <x v="1"/>
    <m/>
    <m/>
    <m/>
    <m/>
    <s v="ES"/>
    <m/>
    <m/>
    <s v="No"/>
    <s v="Proceso"/>
    <m/>
    <s v="N/A"/>
    <n v="1.5"/>
    <m/>
    <m/>
    <s v="Se ha priorizado otra incidencia"/>
    <d v="1899-12-30T00:00:00"/>
    <s v="Configuración y desarrollos. "/>
    <s v="MP"/>
  </r>
  <r>
    <s v="MP-0003"/>
    <d v="2025-04-28T00:00:00"/>
    <s v="Junting"/>
    <s v="Isabel"/>
    <s v="Incidencia"/>
    <s v="Evolutivo"/>
    <x v="0"/>
    <x v="4"/>
    <s v="Meridiano Palaciano no tiene IVA repercutido 23% Soportado"/>
    <s v="葡萄牙没有销项增值税IVA 23%，无法入账"/>
    <m/>
    <s v="Alta"/>
    <s v="07/05/2025 Verificar si existe el II en portugal. Entregado._x000a_12/05/2025 Verificar el Soportado de Portugal son facturas de proveedor. Validar proceso con Li._x000a_ 3k en el entorno de desarrollo .Revisar customizing y probarlo Customizong._x000a_14/05/2025 Se ha mandado un email revisando la parametrización y las cuentas._x000a_20/05/2025 se elimina la primera fecha de entrga 12/05/2025_x000a_21/05/2025 Se ha recordado y enviar recordatorio._x000a_26/05/2025 gestionar con la parte de contabilidad el II de Portugal/Se pasa a Test durante el día de hoy_x000a_28/05/2025 Se recuerda dos veces_x000a_02/06/2025 Se recuera para validar_x000a_04/06/2026 Se apunta para gestionar con MP el 05/06"/>
    <s v="S4/hana"/>
    <s v="AHY"/>
    <x v="0"/>
    <d v="2025-05-29T00:00:00"/>
    <d v="2025-06-02T00:00:00"/>
    <d v="2025-06-02T00:00:00"/>
    <s v="Altim reviso y contesto en tiempo para que MP realizara la prueba"/>
    <s v="PT"/>
    <d v="2025-05-29T00:00:00"/>
    <s v="Revision por parte de MP"/>
    <s v="No"/>
    <s v="Proceso"/>
    <m/>
    <s v="Medio"/>
    <n v="10.5"/>
    <s v="Se pasa a Test durante el día de hoy"/>
    <s v="ZTBK901763"/>
    <s v="Pendiente de prueba por parte de MP"/>
    <s v="Pendiente de prueba por parte de MP"/>
    <s v="Configuración y desarrollos. "/>
    <s v="Altim"/>
  </r>
  <r>
    <s v="MP-0004"/>
    <d v="2025-04-28T00:00:00"/>
    <s v="Ana"/>
    <s v="Felipe"/>
    <s v="Incidencia"/>
    <s v="Evolutivo"/>
    <x v="0"/>
    <x v="4"/>
    <s v="CUENTA 5201100002. Configuración de póliza de crédito de los bancos. "/>
    <s v="银行信用借款记账设置"/>
    <m/>
    <s v="Alta"/>
    <s v="07/05/2025 Necesidad de crear un banco propio con esta cuenta._x000a_12/05/2025 Es necesario recibir un extracto bancario , se esta verificando como esta parametrizado._x000a_14/05/2025 En la cuenta 5201100004 de BANCAMARCH POLIZA DE CREDITO vemos que aparece reflejado un saldo, porque subimos un fichero de la norma 43 pero no lo lleva a las cuentas transitorias, no aparecen esos movimientos por ningún lado. 5201160004 y 5201160005_x000a_20/05/2025 se elimina la primera fecha de entrga 13/05/2025_x000a_20/05/2025 Recibimos el fichero/Pendiente de usuario que pruebe_x000a_29/05/2025 se le va  requerir mas información_x000a_30/05/2025 Se hace una call para aclarar_x000a_02/06/2025 Se retrasa por priorización otros temas_x000a_03/06/2025 Se reuiere crearla para que se puedan gestionar partidas abiertas._x000a_04/06&amp;2025 Revision de proceso"/>
    <s v="S4/hana"/>
    <s v="AHY"/>
    <x v="3"/>
    <m/>
    <m/>
    <m/>
    <s v="Se recibe el fichero 20/05"/>
    <s v="ES"/>
    <m/>
    <s v="Sin retraso"/>
    <s v="No"/>
    <s v="Proceso"/>
    <m/>
    <s v="N/A"/>
    <n v="24"/>
    <s v="Pendiente de usuario que pruebe"/>
    <m/>
    <s v="Pte de probar por Altim"/>
    <s v="Pte de probar"/>
    <s v="Configuración y desarrollos. "/>
    <s v="MP"/>
  </r>
  <r>
    <s v="MP-0005"/>
    <d v="2025-04-28T00:00:00"/>
    <s v="Susana, Ana"/>
    <s v="Isabel"/>
    <s v="Incidencia"/>
    <s v="Petición"/>
    <x v="0"/>
    <x v="4"/>
    <s v="Configuración de cuenta contable"/>
    <s v="会计科目设置_x000a_例如：_x000a_- 现金入账强制记税_x000a_- 非进口类采购发票记账错误_x000a_- 外协加工发票，在模拟会计分录时，系统将差额记入‘进口关税费用’科目，而实际上这是一个国内供应商。或海运费的科目。"/>
    <s v="Obligatorio impuesto en apuntes de caja"/>
    <s v="Alta"/>
    <s v="Se solicita modificar y bloquear las cuentas 708* por estar repetidas_x000a_10/06/2025 se dice la forma a realizar"/>
    <s v="S4/hana"/>
    <s v="M.A"/>
    <x v="0"/>
    <d v="2025-06-13T00:00:00"/>
    <d v="2025-06-20T00:00:00"/>
    <d v="2025-06-20T00:00:00"/>
    <s v="Se entrega el 10/06 y el 13/06 el usuario comunica que se cierre"/>
    <s v="ES"/>
    <d v="2025-05-13T00:00:00"/>
    <s v="Sin retraso"/>
    <s v="No"/>
    <s v="Proceso"/>
    <m/>
    <s v="N/A"/>
    <n v="9.5"/>
    <m/>
    <m/>
    <m/>
    <e v="#N/A"/>
    <s v="Calidad de Datos "/>
    <s v="Altim"/>
  </r>
  <r>
    <s v="MP-0006"/>
    <d v="2025-04-28T00:00:00"/>
    <s v="Junting Fan"/>
    <s v="Isabel"/>
    <s v="Incidencia"/>
    <s v="Incidencia"/>
    <x v="0"/>
    <x v="4"/>
    <s v="Errores en el proceso de cobro por pagaré"/>
    <s v="支票收款流程的设计和配置"/>
    <m/>
    <s v="Alta"/>
    <s v="08/05/2025 Verificar que errores se da cuando se realiza el cobro, verificar la via de pago._x000a_21/05/2025 Se solicita informacion/Verificado el proceso para replicarlo en SAP_x000a_28/05/2025 Se verifica que el proceso es correcto pero se realizan varios pasos de mas."/>
    <s v="S4/hana"/>
    <s v="AHY"/>
    <x v="0"/>
    <d v="2025-05-31T00:00:00"/>
    <d v="2025-06-07T00:00:00"/>
    <d v="2025-06-02T00:00:00"/>
    <m/>
    <s v="ES"/>
    <d v="2025-05-31T00:00:00"/>
    <s v="Sin retraso"/>
    <s v="No"/>
    <s v="Proceso"/>
    <m/>
    <s v="N/A"/>
    <n v="19"/>
    <s v="Verificado el proceso para replicarlo en SAP"/>
    <m/>
    <s v="Analizado proceso"/>
    <s v="Confirmar el cierre"/>
    <s v="Configuración y desarrollos. "/>
    <s v="Altim"/>
  </r>
  <r>
    <s v="MP-00061"/>
    <d v="2025-04-28T00:00:00"/>
    <s v="Junting Fan"/>
    <s v="Isabel"/>
    <s v="Incidencia"/>
    <s v="Incidencia"/>
    <x v="0"/>
    <x v="4"/>
    <s v="Se intenta buscar una vía para que se pueda automatizar el proceso- Configuracion y pruebas"/>
    <s v="支票收款流程的设计和配置"/>
    <m/>
    <s v="Alta"/>
    <s v="08/05/2025 Verificar que errores se da cuando se realiza el pago, verificar la via de pago._x000a_21/05/2025 Se solicita informacion/_x000a_Reduccion de pasos_x000a_"/>
    <s v="S4/hana"/>
    <s v="AHY"/>
    <x v="0"/>
    <d v="2025-05-31T00:00:00"/>
    <d v="2025-06-07T00:00:00"/>
    <d v="2025-06-02T00:00:00"/>
    <m/>
    <s v="ES"/>
    <d v="2025-05-31T00:00:00"/>
    <s v="Sin retraso"/>
    <s v="No"/>
    <s v="Proceso"/>
    <m/>
    <s v="N/A"/>
    <n v="3.5"/>
    <m/>
    <m/>
    <s v="Configurada propuesta de solución"/>
    <d v="1899-12-30T00:00:00"/>
    <s v="Configuración y desarrollos. "/>
    <s v="Altim"/>
  </r>
  <r>
    <s v="MP-00062"/>
    <d v="2025-04-28T00:00:00"/>
    <s v="Junting Fan"/>
    <s v="Isabel"/>
    <m/>
    <s v="Petición"/>
    <x v="0"/>
    <x v="4"/>
    <s v="Se intenta buscar una vía para que se pueda automatizar el proceso- Formacion y Manual"/>
    <s v="支票收款流程的设计和配置"/>
    <m/>
    <s v="Alta"/>
    <s v="28/05/2025 Se busca una vía ara automatizar el proceso de Pagare y la compensación._x000a_30/05/2025 Se manada proceso para agilizar la compensacion y eliminación de efectos._x000a_03/06/2025 Se recuerda otra vez_x000a_06/06/2025 Se cierra la anteriro y se va a buscar la viabilidad de agilizar el proceso por la F110_x000a_MANUAL"/>
    <m/>
    <s v="AHY"/>
    <x v="0"/>
    <d v="2025-05-30T00:00:00"/>
    <d v="2025-06-06T00:00:00"/>
    <d v="2025-06-02T00:00:00"/>
    <m/>
    <s v="ES"/>
    <d v="2025-06-06T00:00:00"/>
    <s v="Sin retraso"/>
    <m/>
    <m/>
    <m/>
    <s v="Bajo"/>
    <n v="16"/>
    <m/>
    <m/>
    <s v="Manual de propuesta de solución"/>
    <s v="Confirmar el cierre"/>
    <s v="Proced. MP"/>
    <s v="Altim"/>
  </r>
  <r>
    <s v="MP-00063"/>
    <d v="2025-04-28T00:00:00"/>
    <s v="Junting Fan"/>
    <s v="Isabel"/>
    <m/>
    <s v="Petición"/>
    <x v="0"/>
    <x v="4"/>
    <s v="Se intenta buscar una vía para que se pueda automatizar el proceso- Formacion y Manual -Clientes _x000a_Verificación de proceso mediante Programa automatico de pago"/>
    <s v="支票收款流程的设计和配置"/>
    <m/>
    <s v="Alta"/>
    <s v="06/05/2025 Verificación de proceso mediante Programa automatico de pago_x000a_11/06/2025 Revisarlo y mandar un email porque no se puede reducir mas_x000a_24/06/2025 Se ha vuelto a explicar como hacerlo _x000a_Proceso explicado, IBAN transportado el martes"/>
    <m/>
    <s v="AHY"/>
    <x v="0"/>
    <d v="2025-06-30T00:00:00"/>
    <d v="2025-07-07T00:00:00"/>
    <d v="2025-06-02T00:00:00"/>
    <m/>
    <s v="ES"/>
    <d v="2025-06-30T00:00:00"/>
    <m/>
    <m/>
    <m/>
    <m/>
    <s v="N/A"/>
    <n v="9.5"/>
    <m/>
    <m/>
    <m/>
    <m/>
    <m/>
    <s v="Altim"/>
  </r>
  <r>
    <s v="MP-0007"/>
    <d v="2025-04-28T00:00:00"/>
    <s v="Susana"/>
    <s v="Isabel"/>
    <s v="Incidencia"/>
    <s v="Evolutivo"/>
    <x v="0"/>
    <x v="4"/>
    <s v="Error listado/libro facturas emitidas y recibidas. NIF"/>
    <s v="错误清单/已开发票和收到发票的发票簿"/>
    <m/>
    <s v="Alta"/>
    <s v="07/05/2025 Verificando el listado y solicitada información. Altim va a ejecutat la app y verificar que es lo que extrae._x000a_12/05/2025 Altim va a generar un fichero y ejecutar la app para enviar a MP y que se identifique el error. Recibido un manual para ejecutar la app_x000a_14/05/2025 Recibimos los requerimientos_x000a_1- Manual que en su día Aser nos dio para poder sacar los libros de facturas _x000a_2- Formato oficial para el libro en soporte informático._x000a_3- Ejemplo de libro de facturas expedidas en sap de diciembre._x000a_Se realiza el layout y se manda al usuario que identifica unos cambios ._x000a_Se ha filtrado y se ha extraido los documentos financieros con II NT_x000a_14/05/2025 Susana solicita verificar lo respondido por el consultor._x000a_16/05/2025 El usuario no encuentra la variante, verificando si se ha definido como usuario y mandado la manera de verlo._x000a_20/05/2025 A la espera de solucionar lo del flag, ya se ha solucionado./Se realiza Layout y se indica como ejecutarlo_x000a_29/05/2025 Relacion MP-0097 Recordar que Marta un email_x000a_03/06/2025 No se rquiere por extraer un informe en particular sino a modo de consulta_x000a_Se envia la forma de extrar el informe"/>
    <s v="S4/hana"/>
    <s v="AHY"/>
    <x v="0"/>
    <d v="2025-05-26T00:00:00"/>
    <d v="2025-06-02T00:00:00"/>
    <d v="2025-06-02T00:00:00"/>
    <m/>
    <s v="ES"/>
    <d v="2025-05-26T00:00:00"/>
    <s v="Sin retraso"/>
    <s v="No"/>
    <s v="Proceso"/>
    <m/>
    <s v="Bajo"/>
    <n v="13"/>
    <s v="Se realiza Layout y se indica como ejecutarlo"/>
    <m/>
    <s v="Se facilita informe y la manera de ejecutarlo"/>
    <d v="1899-12-30T00:00:00"/>
    <s v="Formación."/>
    <s v="Altim"/>
  </r>
  <r>
    <s v="MP-00071"/>
    <d v="2025-05-14T00:00:00"/>
    <s v="Susana"/>
    <s v="Isabel"/>
    <s v="Incidencia"/>
    <s v="Evolutivo"/>
    <x v="0"/>
    <x v="4"/>
    <s v="Extraccion documentos con II NT"/>
    <m/>
    <m/>
    <s v="Alta"/>
    <s v="14/05/2025 Por necesidad del informe de facturas recibidas se pide el indicador NT que es incorrecto para analizar la información/Coonfirmado cierre la semana pasada"/>
    <s v="S4/hana"/>
    <s v="MPP"/>
    <x v="0"/>
    <d v="2025-05-19T00:00:00"/>
    <d v="2025-05-26T00:00:00"/>
    <d v="2025-05-26T00:00:00"/>
    <m/>
    <s v="ES"/>
    <d v="2025-05-19T00:00:00"/>
    <s v="Sin retraso"/>
    <m/>
    <m/>
    <m/>
    <s v="N/A"/>
    <n v="6.5"/>
    <s v="Coonfirmado cierre la semana pasada"/>
    <m/>
    <s v="Se extrae la información y se facilita al usuario"/>
    <d v="1899-12-30T00:00:00"/>
    <s v="Proced. MP"/>
    <s v="Altim"/>
  </r>
  <r>
    <s v="MP-00072"/>
    <d v="2025-05-21T00:00:00"/>
    <s v="Susana"/>
    <s v="Isabel"/>
    <s v="Incidencia"/>
    <s v="Evolutivo"/>
    <x v="0"/>
    <x v="1"/>
    <s v="Buscar informe que contenga la información de los NIF.Parad, libro de facturas emitidas y recibidas"/>
    <m/>
    <m/>
    <s v="Sin prioridad"/>
    <s v="21/05/2025 Se abre incidencia_x000a_26/05/2025 Se manda el fichero con el listado de terceros y su NIF/Se manda un fichero con terceros para analizar por parte MP._x000a_06/05/2025 se busca la viabilidad de ejecutar un fichero que contenga dicha información, NIF5 , BI, _x000a_11/06/2025 se tiene que hacer en la declaración , voy a revisarlo, se entregan las consultas realizadas, las operaciones nacionales tienen que tener informado los NIG ES01 y comunitario si procede. En los terceros internacionales no se puede sacar el NIF"/>
    <s v="S4/hana"/>
    <s v="AHY"/>
    <x v="1"/>
    <m/>
    <m/>
    <m/>
    <m/>
    <s v="ES"/>
    <m/>
    <m/>
    <m/>
    <m/>
    <m/>
    <s v="N/A"/>
    <n v="0"/>
    <s v="Se manda un fichero con terceros para analizar por parte MP."/>
    <m/>
    <s v="Se extre la información y se facilita al usuario"/>
    <s v="Confirmar el cierre"/>
    <s v="Proced. MP"/>
    <s v="MP"/>
  </r>
  <r>
    <s v="MP-0008"/>
    <d v="2025-04-28T00:00:00"/>
    <s v="Susana"/>
    <s v="Isabel"/>
    <s v="Incidencia"/>
    <s v="Consulta"/>
    <x v="0"/>
    <x v="4"/>
    <s v="Problemas sacar informe financieros oficiales "/>
    <s v="官方财务报表生成错误"/>
    <m/>
    <s v="Alta"/>
    <s v="08/05/2025 Pedir que informes oficiales se trata._x000a_14/05/2025 se solicita información_x000a_20/05/2025 Se contesta como bajarse el fichero/Se ha indicado como bajarse el fichero"/>
    <s v="S4/hana"/>
    <s v="MPP"/>
    <x v="0"/>
    <d v="2025-06-02T00:00:00"/>
    <d v="2025-06-09T00:00:00"/>
    <d v="2025-06-09T00:00:00"/>
    <m/>
    <s v="ES"/>
    <d v="2025-06-02T00:00:00"/>
    <s v="Sin retraso"/>
    <s v="No"/>
    <s v="Proceso"/>
    <m/>
    <s v="N/A"/>
    <n v="11.5"/>
    <s v="Se ha indicado como bajarse el fichero"/>
    <m/>
    <s v="Se facilita informe y la manera de ejecutarlo, crendo layout según requerimientos"/>
    <d v="1899-12-30T00:00:00"/>
    <s v="Formación."/>
    <s v="Altim"/>
  </r>
  <r>
    <s v="MP-00081"/>
    <d v="2025-05-29T00:00:00"/>
    <s v="Susana"/>
    <s v="Isabel"/>
    <m/>
    <s v="Consulta"/>
    <x v="0"/>
    <x v="4"/>
    <s v="Realizar manual para el aging de clientes. No tiene acceso email a Jorge y comentandole a Lu lo de los permisos."/>
    <m/>
    <m/>
    <s v="Alta"/>
    <s v="04/06/2025 Se pone en proceso para confirmar requerimientos  Se adjunta manual de aging._x000a_06/06/2025 Verificar la viabilidad de poner un rol para que pueda visualizar."/>
    <m/>
    <s v="AHY"/>
    <x v="0"/>
    <d v="2025-06-30T00:00:00"/>
    <d v="2025-07-07T00:00:00"/>
    <d v="2025-06-09T00:00:00"/>
    <m/>
    <s v="ES"/>
    <d v="2025-06-30T00:00:00"/>
    <m/>
    <m/>
    <m/>
    <m/>
    <s v="N/A"/>
    <n v="2"/>
    <m/>
    <m/>
    <m/>
    <e v="#N/A"/>
    <m/>
    <s v="Altim"/>
  </r>
  <r>
    <s v="MP-0009"/>
    <d v="2025-04-28T00:00:00"/>
    <s v="Luna"/>
    <s v="Felipe"/>
    <s v="Incidencia"/>
    <s v="Incidencia"/>
    <x v="0"/>
    <x v="4"/>
    <s v="Problemas en facturaciones por errores en los datos maestros de interlocutores."/>
    <s v="由于合作伙伴 （客户和供应商）主数据错误导致的发票问题"/>
    <m/>
    <s v="Media"/>
    <s v="08/05/2025 Solictar que BP dan dichos errores_x000a_13/05/2025 Se solicita información de los datos Maestros_x000a_20/05/2025 Se solicita información y se baja a media la prioridad al no haberse contestado en una semana/Coonfirmado cierre la semana pasada"/>
    <s v="S4/hana"/>
    <s v="MPP"/>
    <x v="0"/>
    <d v="2025-06-02T00:00:00"/>
    <d v="2025-06-09T00:00:00"/>
    <d v="2025-06-09T00:00:00"/>
    <m/>
    <s v="ES"/>
    <d v="2025-05-21T00:00:00"/>
    <s v="Sin retraso"/>
    <s v="No"/>
    <s v="Proceso"/>
    <m/>
    <s v="N/A"/>
    <n v="8"/>
    <s v="Coonfirmado cierre la semana pasada"/>
    <m/>
    <s v="No se identificar ningún error el usuario nos indica que lo cerremos"/>
    <d v="1899-12-30T00:00:00"/>
    <s v="Calidad de Datos "/>
    <s v="Altim"/>
  </r>
  <r>
    <s v="MP-0010"/>
    <d v="2025-04-28T00:00:00"/>
    <s v="Junting Fan"/>
    <s v="Isabel"/>
    <s v="Incidencia"/>
    <s v="Evolutivo"/>
    <x v="2"/>
    <x v="5"/>
    <s v="Con el intercompany actual, Meridiano Palaciano no tiene su proceso de devolución. No hay abono ni factura rectificativa de Portugal."/>
    <s v="葡萄牙公司没有退货流程，也无法开出退单发票"/>
    <m/>
    <s v="Alta"/>
    <s v="05/05/2025 MA:_x000a_Rango de números idénticos para ambos paises - 45._x000a_Por necesidad de casuística existe la necesidad de modificar los rangos de numeros de estas operaciones._x000a_En portugal no se ha podido registrar una factura rectificativa._x000a_Analizar de todos los errores de cada material, analizar los errores que ha habido._x000a_No se esta usando SAFT._x000a_-MP tiene que confirmar si tienen que declarar los albaranes en Portugal - Guía de transporte para los movimientos de mercancias, origen , destino y fecha y hora de carga._x000a_Altim esta verificando los errores que se generan en el sistema._x000a_06/05/2025 MA_x000a_Se manda el análisis de los erroes:_x000a_- Operativa_x000a_- Formación_x000a_- Parametrización_x000a_08/05/2025 Procedimiento usado no es de intercompany, confirmar con MP la posibidad de eliminar errores en el proceso que estan realizando actualmente que corregiria errores en procesos realizados en españa para despues abarcar e implementar el porceso intercompany standard que ofrece SAP._x000a_12/05/2025 Actualmente se realiza el proceso manual y no permite devoluciones, errores a la hora de asignación de cuentas._x000a_                      MP incide en corregir el proceso actual y una vez este funcionando , abordar el proceso automáticamente mas adelante pero en principio se requiere estabilizar el proceso manual._x000a_                      Se propone realizar una formación ya que el usuario no tiene conocimmiento de que esta haciendo. Realizar una agenda para sesiones de media hora para formar a los usuarios, no sólo para aplicar a los      usuarios en eeste proceso, Altim lo prepara para enviarlo esta semana.Revisar email de expositores._x000a_Revisar (VKOA y OBYC) parametrización para verificar la determinación de cuentas y verificar que las cuentas contables son correctas._x000a_13/05/2025 Se envia las minutes meeting._x000a_19/05/2025 El proceso ya se realiza correctamente, se enviará el manual a lo largo del día de hoy para ayudar al usuario._x000a_20/05/2025 se elimina la primera fecha de entrga 19/05/2025_x000a_/No hay recurso de SD para realizar el proceso completo con Leandro_x000a_03/06/2025 A la espera de las pruebas._x000a_06/06/2025 se evidencia que funciona_x000a_19/06/2025 el lunes se envía manual de como realizar devoluciones con factura en SAP y en Navisión._x000a_23/06/2025 se habre 2 incidencias nuevas. Una para automaticar la localización de la factyura en SAP. Otra para automatizar las facturas en Navisión."/>
    <s v="S4/hana"/>
    <s v="LCC"/>
    <x v="4"/>
    <m/>
    <m/>
    <m/>
    <s v="No hay recurso de SD para realizar el proceso completo con Leandro"/>
    <s v="PT"/>
    <m/>
    <s v="Falta Recurso del Área"/>
    <s v="No"/>
    <s v="Proceso"/>
    <n v="1"/>
    <s v="Bajo"/>
    <n v="137.5"/>
    <s v="No hay recurso de SD para realizar el proceso completo con Leandro"/>
    <m/>
    <s v="Se ejecuta el proceso y se enseña pero se identifica mas GAPS "/>
    <d v="1899-12-30T00:00:00"/>
    <s v="Configuración y desarrollos. "/>
    <s v="MP"/>
  </r>
  <r>
    <s v="MP-00101"/>
    <d v="2025-05-13T00:00:00"/>
    <m/>
    <s v="Isabel"/>
    <m/>
    <s v="Evolutivo"/>
    <x v="0"/>
    <x v="4"/>
    <s v="Auditar la determianción de cuentas de aprovisionamiento"/>
    <m/>
    <m/>
    <s v="Alta"/>
    <s v="13/05/2025 se realiza una reunión para verificar la parametrizacion de las operaciones automáticas de compras._x000a_19/05/2025 Se envia el acta a lo largo del día de hoy con lo mas relevante del workshop del martes._x000a_/Verificando y modificando configuración_x000a_30/05/2025 incidencias identificadas en otros apartados, se hizo una primera reunión para revisar a modo general pero se estan abriendo procesos a modo general_x000a_29/05/2025 Revisar se va modificando con otras inidencias"/>
    <s v="S4/hana"/>
    <s v="M.A"/>
    <x v="0"/>
    <d v="2025-06-02T00:00:00"/>
    <d v="2025-06-09T00:00:00"/>
    <d v="2025-06-09T00:00:00"/>
    <m/>
    <s v="ES"/>
    <d v="2025-06-02T00:00:00"/>
    <m/>
    <m/>
    <m/>
    <m/>
    <s v="Medio"/>
    <n v="9.5"/>
    <s v="Verificando y modificando configuración"/>
    <m/>
    <s v="Se realiza una reunión de trabajo donde se identifican muchos errores de configuración y DM"/>
    <d v="1899-12-30T00:00:00"/>
    <s v="Configuración y desarrollos. "/>
    <s v="Altim"/>
  </r>
  <r>
    <s v="MP-00102"/>
    <s v="23/06/2025"/>
    <m/>
    <s v="Lu WANG"/>
    <m/>
    <s v="Incidencia"/>
    <x v="1"/>
    <x v="4"/>
    <s v="MP-0010 - automatización de coger referencia de factura en SAP durante las devoluciones de Portugal"/>
    <m/>
    <m/>
    <s v="Alta"/>
    <s v="25/06/2025 - se prepara un análisis para aprobación de un desarrollo en BTP"/>
    <m/>
    <s v="LCC"/>
    <x v="5"/>
    <s v="27/06/2025"/>
    <s v="01/07/2025"/>
    <s v="01/07/2025"/>
    <s v="Se empieza el análisis el día 25/06/2025"/>
    <m/>
    <m/>
    <m/>
    <m/>
    <m/>
    <m/>
    <s v="N/A"/>
    <n v="8.5"/>
    <m/>
    <m/>
    <m/>
    <m/>
    <m/>
    <s v="Altim"/>
  </r>
  <r>
    <s v="MP-00104"/>
    <d v="2025-05-30T00:00:00"/>
    <m/>
    <s v="Lu WANG"/>
    <m/>
    <s v="Incidencia"/>
    <x v="3"/>
    <x v="4"/>
    <s v="MP-0010: Manual para recordar poner el campo referencia en el proceso de devoluciones en Portugal"/>
    <m/>
    <m/>
    <s v="Media"/>
    <m/>
    <m/>
    <s v="LCC"/>
    <x v="0"/>
    <d v="2025-06-30T00:00:00"/>
    <d v="2025-06-30T00:00:00"/>
    <d v="2025-06-30T00:00:00"/>
    <m/>
    <s v="PT"/>
    <d v="2025-06-30T00:00:00"/>
    <m/>
    <m/>
    <m/>
    <m/>
    <s v="N/A"/>
    <n v="0"/>
    <m/>
    <m/>
    <m/>
    <e v="#N/A"/>
    <s v="Configuración y desarrollos. "/>
    <s v="Altim"/>
  </r>
  <r>
    <s v="MP-00105"/>
    <d v="2025-05-30T00:00:00"/>
    <m/>
    <s v="Lu WANG"/>
    <m/>
    <s v="Incidencia"/>
    <x v="3"/>
    <x v="4"/>
    <s v="MP-0010: En el fichero para el gestor de la factura y nota de crédito de Portugal sale mal (en el nº envia clase de factura (F2, L2) en vez de el segmento)."/>
    <m/>
    <m/>
    <s v="Media"/>
    <s v="Hay que revisar la configuración de los intervalos de números para Portugal"/>
    <m/>
    <s v="LCC"/>
    <x v="6"/>
    <m/>
    <m/>
    <m/>
    <m/>
    <s v="PT"/>
    <m/>
    <m/>
    <m/>
    <m/>
    <m/>
    <s v="N/A"/>
    <n v="0"/>
    <m/>
    <m/>
    <m/>
    <e v="#N/A"/>
    <s v="Configuración y desarrollos. "/>
    <s v="MP"/>
  </r>
  <r>
    <s v="MP-00106"/>
    <d v="2025-05-30T00:00:00"/>
    <m/>
    <s v="Lu WANG"/>
    <m/>
    <s v="Incidencia"/>
    <x v="3"/>
    <x v="4"/>
    <s v="MP-0010: En elformulario de la factura y nota de crédito de Portugal sale mal (en el nº envia clase de factura (F2, L2) en vez de el segmento)."/>
    <m/>
    <m/>
    <s v="Media"/>
    <s v="Hay que revisar la configuración de los intervalos de números para Portugal"/>
    <m/>
    <s v="LCC"/>
    <x v="6"/>
    <m/>
    <m/>
    <m/>
    <m/>
    <s v="PT"/>
    <m/>
    <m/>
    <m/>
    <m/>
    <m/>
    <s v="N/A"/>
    <n v="0"/>
    <m/>
    <m/>
    <m/>
    <e v="#N/A"/>
    <m/>
    <s v="MP"/>
  </r>
  <r>
    <s v="MP-0011"/>
    <d v="2025-04-28T00:00:00"/>
    <s v="Tao"/>
    <s v="Felipe"/>
    <s v="Incidencia"/>
    <s v="Evolutivo"/>
    <x v="3"/>
    <x v="4"/>
    <s v="No se puede utilizar bono/voucher/vale"/>
    <s v="无法使用代金券"/>
    <m/>
    <s v="Baja"/>
    <s v="08/05/2025 Nueva configuración de un descuento en ventas/"/>
    <s v="S4/hana"/>
    <s v="RMB"/>
    <x v="1"/>
    <m/>
    <m/>
    <m/>
    <m/>
    <s v="ES"/>
    <m/>
    <m/>
    <s v="No"/>
    <s v="Proceso"/>
    <m/>
    <s v="N/A"/>
    <n v="16"/>
    <m/>
    <m/>
    <m/>
    <e v="#N/A"/>
    <s v="Configuración y desarrollos. "/>
    <s v="MP"/>
  </r>
  <r>
    <s v="MP-0012"/>
    <d v="2025-04-28T00:00:00"/>
    <s v="Luna, Susana "/>
    <s v="Isabel "/>
    <s v="Incidencia"/>
    <s v="Evolutivo"/>
    <x v="1"/>
    <x v="4"/>
    <s v="Factura de venta/ Factura rectificativa/Nota de crédito_x000a_- Formato de las facturas_x000a_- Contenido comercial _x000a_- Configuración fiscal _x000a_Formulario de venttas"/>
    <s v="发票和退单发票相关的所有问题_x000a_- 发票格式_x000a_- 发票内容_x000a_- 税务相关设置_x000a__x000a_例如：_x000a_- 更正发票不参考原始发票，并且被错误地上传税局。不显示为什么开具更正发票。_x000a_- 退单凭证里面的附加税错误。_x000a_- 我们有的客户不成正退单凭证，坚持要求退单发票。_x000a_- 目前，差价退单是直接通过 FB70 进行开具的。没有可供查看或下载的订阅 PDF。"/>
    <s v="Por ejemplo:_x000a_- Las factura rectificativa no recoge la factura de de venta original, no aparece por qué se emite la factura rectificativa y se está comunicando de manera errónea a la AEAT. (CARGA DEL FICHERO DE TIPOS DE  EDOCUMENTS Y SU PARAMETRIZACIÓN  EN CARPETA) _x000a_- Errores con recargos de equivalencia en las ¨Nota de crédito¨_x000a_- Tenemos clientes que no reconoce ¨nota de crédito¨._x000a_- Ahora mismo se está haciendo abonos por diferencia de precio directamente por FB70. No hay un pdf de abono para visualizar o descargar_x000a_-  Nota de crédito, en Marzo, recargo equivalencia en vez de 5.2%, eran 0.5%.."/>
    <s v="Alta"/>
    <s v="29/04/2025 MA: Esperando usuario para entorno de configuración._x000a_Pedir el manual de como hacerlo y que objetivo se tenia._x000a_06/05/2025 MA: Realizando Diseño funcional de la factura_x000a_Se ha realivisado la configuración del SII y enviado a MP._x000a_07/05/2025 Extraccion de la información de la creación del Edocument para el SII._x000a_08/05/2025 Se esta realizando la valoración técnica, diseño funcional ha sido confirmado y realizado. _x000a_12/05/205  Se ha realizado el DF para todas las casuisticas y a la espera de la valoración de la parte técnica para confirmar fecha de entrega._x000a_14/05/2025 Se estima tecnicamente mas las pruebas en 13 jornadas_x000a_26/05/2025 Se genera un retraso porque no hay consultor de ventas_x000a_                       El formulario esta muy desarrollado y tocado por varios usuarios_x000a__x000a_/Resolución mas lenta la no tener un consultor de SD para apoyar a Leandro_x000a_28/05/2025 Se revisa con MP y prte abap se hace una recopilacion del status y se confirman detalle, se recibe la clausula de protección de datos_x000a_13/06/2025 lleva pente deMP 2 semanas_x000a_16/06/2025 MP confirma que podemos subirlo a producción."/>
    <s v="S4/hana"/>
    <s v="M.A"/>
    <x v="0"/>
    <d v="2025-06-10T00:00:00"/>
    <d v="2025-06-16T00:00:00"/>
    <d v="2025-06-16T00:00:00"/>
    <m/>
    <s v="ES"/>
    <d v="2025-06-18T00:00:00"/>
    <s v="Revision por parte de MP"/>
    <s v="No"/>
    <s v="Proceso"/>
    <n v="4"/>
    <s v="Bajo"/>
    <n v="109.5"/>
    <s v="Resolución mas lenta la no tener un consultor de SD para apoyar a Leandro"/>
    <m/>
    <s v="Formulario de ventas planificado poner pte de MP el 03/06"/>
    <s v="Entregar a MP para probar"/>
    <m/>
    <s v="Altim"/>
  </r>
  <r>
    <s v="MP-00121"/>
    <d v="2025-06-10T00:00:00"/>
    <m/>
    <s v="Liu Yalu"/>
    <m/>
    <s v="Evolutivo"/>
    <x v="3"/>
    <x v="4"/>
    <s v="Factura de venta/ Factura rectificativa/Nota de crédito_x000a_- Formato de las facturas_x000a_- Contenido comercial _x000a_- Configuración fiscal _x000a_Formulario de venttas"/>
    <s v="发票和退单发票相关的所有问题_x000a_- 发票格式_x000a_- 发票内容_x000a_- 税务相关设置_x000a__x000a_例如：_x000a_- 更正发票不参考原始发票，并且被错误地上传税局。不显示为什么开具更正发票。_x000a_- 退单凭证里面的附加税错误。_x000a_- 我们有的客户不成正退单凭证，坚持要求退单发票。_x000a_- 目前，差价退单是直接通过 FB70 进行开具的。没有可供查看或下载的订阅 PDF。"/>
    <s v="Por ejemplo:_x000a_- Las factura rectificativa no recoge la factura de de venta original, no aparece por qué se emite la factura rectificativa y se está comunicando de manera errónea a la AEAT. (CARGA DEL FICHERO DE TIPOS DE  EDOCUMENTS Y SU PARAMETRIZACIÓN  EN CARPETA) _x000a_- Errores con recargos de equivalencia en las ¨Nota de crédito¨_x000a_- Tenemos clientes que no reconoce ¨nota de crédito¨._x000a_- Ahora mismo se está haciendo abonos por diferencia de precio directamente por FB70. No hay un pdf de abono para visualizar o descargar_x000a_-  Nota de crédito, en Marzo, recargo equivalencia en vez de 5.2%, eran 0.5%.."/>
    <s v="Baja"/>
    <s v="10/06/2025 se abre el requerimiento para agrupar los boucher"/>
    <m/>
    <s v="RMB"/>
    <x v="1"/>
    <m/>
    <m/>
    <m/>
    <m/>
    <s v="ES"/>
    <m/>
    <m/>
    <m/>
    <m/>
    <m/>
    <s v="N/A"/>
    <n v="2"/>
    <m/>
    <m/>
    <m/>
    <m/>
    <s v="Configuración y desarrollos. "/>
    <s v="MP"/>
  </r>
  <r>
    <s v="MP-00122"/>
    <d v="2025-06-04T00:00:00"/>
    <m/>
    <s v="Isabel"/>
    <m/>
    <s v="Evolutivo"/>
    <x v="1"/>
    <x v="4"/>
    <s v="Se extraen los tercero para ver el codigo de ramo 1"/>
    <m/>
    <m/>
    <s v="Alta"/>
    <s v="04/06/2025 Se abre esta incidencia para evolucionar el sistema y ver que no pase mas_x000a_11/06/2025"/>
    <m/>
    <s v="LJS"/>
    <x v="0"/>
    <d v="2025-06-17T00:00:00"/>
    <d v="2025-06-23T00:00:00"/>
    <d v="2025-06-16T00:00:00"/>
    <m/>
    <s v="ES"/>
    <d v="2025-06-11T00:00:00"/>
    <s v="Sin retraso"/>
    <m/>
    <m/>
    <m/>
    <s v="Medio"/>
    <n v="5"/>
    <m/>
    <m/>
    <m/>
    <m/>
    <m/>
    <s v="Altim"/>
  </r>
  <r>
    <s v="MP-00123"/>
    <d v="2025-06-04T00:00:00"/>
    <m/>
    <s v="Isabel"/>
    <m/>
    <s v="Evolutivo"/>
    <x v="1"/>
    <x v="4"/>
    <s v="Se verifican que clientes que código de ramo son"/>
    <m/>
    <m/>
    <s v="Alta"/>
    <s v="04/06/2025 Se abre esta incidencia para evolucionar el sistema y ver que no pase mas"/>
    <m/>
    <s v="M.A"/>
    <x v="0"/>
    <d v="2025-09-09T00:00:00"/>
    <d v="2025-09-16T00:00:00"/>
    <d v="2025-06-09T00:00:00"/>
    <m/>
    <s v="ES"/>
    <d v="2025-07-11T00:00:00"/>
    <m/>
    <m/>
    <m/>
    <m/>
    <s v="N/A"/>
    <n v="0.5"/>
    <m/>
    <m/>
    <m/>
    <m/>
    <s v="Proced. MP"/>
    <s v="Altim"/>
  </r>
  <r>
    <s v="MP-00124"/>
    <d v="2025-06-04T00:00:00"/>
    <m/>
    <s v="Isabel"/>
    <m/>
    <s v="Evolutivo"/>
    <x v="1"/>
    <x v="4"/>
    <s v="Se actualiza masivamente"/>
    <m/>
    <m/>
    <s v="Alta"/>
    <s v="04/06/2025 Se abre esta incidencia para evolucionar el sistema y ver que no pase mas"/>
    <m/>
    <s v="M.A"/>
    <x v="3"/>
    <m/>
    <m/>
    <m/>
    <m/>
    <s v="ES"/>
    <m/>
    <m/>
    <m/>
    <m/>
    <m/>
    <s v="N/A"/>
    <n v="0"/>
    <m/>
    <m/>
    <m/>
    <m/>
    <s v="Calidad de Datos "/>
    <s v="MP"/>
  </r>
  <r>
    <s v="MP-00125"/>
    <d v="2025-06-16T00:00:00"/>
    <m/>
    <s v="Lu WANG"/>
    <m/>
    <s v="Petición"/>
    <x v="0"/>
    <x v="4"/>
    <s v="Cambiar descripcion en portugrues de los G2 a Factura rectificativa. Revisar si esta en pro"/>
    <m/>
    <m/>
    <s v="Alta"/>
    <s v="11/10/2025 Cambiar descripcion en portugrues de los G2 a Factura rectificativa_x000a_18/06/2025 Asignada a Finanzas para ver BADI donde corregirlo._x000a_"/>
    <m/>
    <s v="M.A"/>
    <x v="0"/>
    <d v="2025-07-19T00:00:00"/>
    <d v="2025-07-26T00:00:00"/>
    <d v="2025-07-26T00:00:00"/>
    <m/>
    <s v="PT"/>
    <d v="2025-06-17T00:00:00"/>
    <m/>
    <m/>
    <m/>
    <m/>
    <s v="N/A"/>
    <n v="0"/>
    <m/>
    <m/>
    <m/>
    <m/>
    <m/>
    <s v="Altim"/>
  </r>
  <r>
    <s v="MP-00126"/>
    <d v="2025-06-16T00:00:00"/>
    <m/>
    <s v="Isabel"/>
    <m/>
    <s v="Petición"/>
    <x v="3"/>
    <x v="4"/>
    <s v="Formulario de Portugal"/>
    <m/>
    <m/>
    <s v="Alta"/>
    <s v="16/06/2025 Se verifica el formulario y se visualizan  "/>
    <m/>
    <s v="M.A"/>
    <x v="7"/>
    <d v="2025-06-29T00:00:00"/>
    <d v="2025-07-06T00:00:00"/>
    <d v="2025-07-06T00:00:00"/>
    <m/>
    <s v="PT"/>
    <m/>
    <m/>
    <m/>
    <m/>
    <m/>
    <s v="N/A"/>
    <n v="2.5"/>
    <m/>
    <m/>
    <m/>
    <m/>
    <s v="Proced. MP"/>
    <s v="MP"/>
  </r>
  <r>
    <s v="MP-00127"/>
    <d v="2025-06-19T00:00:00"/>
    <m/>
    <s v="Lu WANG"/>
    <m/>
    <s v="Formación"/>
    <x v="3"/>
    <x v="4"/>
    <s v="Formación Ramo"/>
    <m/>
    <m/>
    <s v="Alta"/>
    <s v="Formación Ramo"/>
    <m/>
    <s v="M.A"/>
    <x v="0"/>
    <d v="2025-06-29T00:00:00"/>
    <d v="2025-07-06T00:00:00"/>
    <d v="2025-07-06T00:00:00"/>
    <m/>
    <m/>
    <d v="2025-06-17T00:00:00"/>
    <m/>
    <m/>
    <m/>
    <m/>
    <s v="N/A"/>
    <n v="0"/>
    <m/>
    <m/>
    <m/>
    <m/>
    <s v="Proced. MP"/>
    <s v="Altim"/>
  </r>
  <r>
    <s v="MP-00128"/>
    <d v="2025-06-20T00:00:00"/>
    <m/>
    <s v="Lu WANG"/>
    <m/>
    <s v="Incidencia"/>
    <x v="3"/>
    <x v="4"/>
    <s v="Factura ES25019052 Cliente Turco"/>
    <m/>
    <m/>
    <s v="Alta"/>
    <s v="Factura ES25019052 Cliente Turco"/>
    <m/>
    <s v="M.A"/>
    <x v="7"/>
    <d v="2025-06-29T00:00:00"/>
    <d v="2025-07-06T00:00:00"/>
    <d v="2025-07-06T00:00:00"/>
    <m/>
    <m/>
    <m/>
    <m/>
    <m/>
    <m/>
    <m/>
    <s v="N/A"/>
    <n v="1.5"/>
    <m/>
    <m/>
    <m/>
    <m/>
    <s v="Formación."/>
    <s v="MP"/>
  </r>
  <r>
    <s v="MP-0013"/>
    <d v="2025-04-28T00:00:00"/>
    <s v="Luna"/>
    <s v="Isabel"/>
    <s v="Incidencia"/>
    <s v="Incidencia"/>
    <x v="3"/>
    <x v="4"/>
    <s v="Otras funciones de facturas de venta"/>
    <s v="销售发票的其他功能优化_x000a__x000a_- 发票要批量打印功能_x000a_- 海岛合并发票功能不完善_x000a_- 服务类的项，例如运费，返点，行项目在订单里面显示，但是在发票里面就消失了_x000a_- 开退单发票的时候，要有picking数据。重新再开发票的时候，还是要有picking数据。 流程繁琐。_x000a_- 不能过账的发票，就不要生成出来。_x000a_- 申请人，收货人，发票目的人，付款人，这几个不同的信息。我们开发票是开到“发票目的人”，但是增值税，附加税，记账状态，都是跟着申请人走。"/>
    <s v="Por ejemplo:_x000a_- Imprimir o descargar masivamente de las facturas de venta_x000a_- Combinar factuas de venta del mismo cliente de Canarias _x000a_- Posiciones como transporte, o rapel, aparecen en los pedidos, y desaparecen en las facturas emitidas_x000a_- Cuando se emite factura rectificativa, se necesita picking. Y se vuelve a emitir factura de venta, se necesita picking. Es complicado el flujo._x000a_- Queremos que si la factura no se contabiliza, no se genera directamente._x000a_- En cuando a los &quot;Solicitante,Destinatario mercancia, Destinatario de factura, Responsable de pago&quot;, se emite factura a &quot;Destinatario de factura&quot;, pero IVA, recargo de equivalencia, estado de contabilizar, todo se define por &quot;Solicitante&quot;."/>
    <s v="Baja"/>
    <s v="08/05/2025 Hay que realizar una toma de requerimientos para ver si hay algún fallo o es que realmente se necesita una formación para verificar la funcionalidad del sistema._x000a_13/05/2025 Se solicta información de que informes se necesita extraer._x000a_20/05/2025 se elimina la primera fecha de entrga 03/06/2025/Se retrasa al no haber recurso de ventas"/>
    <s v="S4/hana"/>
    <s v="RMB"/>
    <x v="1"/>
    <m/>
    <m/>
    <m/>
    <m/>
    <s v="ES"/>
    <m/>
    <s v="Problemas con el usuario"/>
    <s v="No"/>
    <s v="Proceso"/>
    <m/>
    <s v="Bajo"/>
    <n v="3"/>
    <s v="Se retrasa al no haber recurso de ventas"/>
    <m/>
    <s v="Retraso por no haber recurso de ventas"/>
    <d v="1899-12-30T00:00:00"/>
    <s v="Integraciones"/>
    <s v="MP"/>
  </r>
  <r>
    <s v="MP-0014"/>
    <d v="2025-04-28T00:00:00"/>
    <s v="Tao"/>
    <s v="Felipe"/>
    <s v="Incidencia"/>
    <s v="Incidencia"/>
    <x v="0"/>
    <x v="4"/>
    <s v="Problema de Giro"/>
    <s v="Giro 扣款的问题"/>
    <s v="1. Número de cliente no se puede meter masivamente_x000a_2. Fecha de cargo de GIRO no se coincide con lo que aparece en SAP_x000a_3. No se puede generar fichero si no llega la fecha de vencimiento del GIRO_x000a_4. Si el cliente tiene factura venta normal, y luego se emite factura rectificativa / abono, el sistema no se deduce el importe de abono. "/>
    <s v="Media"/>
    <s v="08/05/2025 Verificar el proceso con MP/_x000a_05/06/2026 - parte ya realizado Necesario ver otra parte con Miguel_x000a_Verificar "/>
    <s v="S4/hana"/>
    <s v="AHY"/>
    <x v="2"/>
    <m/>
    <m/>
    <m/>
    <m/>
    <s v="ES"/>
    <m/>
    <m/>
    <s v="No"/>
    <s v="Proceso"/>
    <m/>
    <s v="N/A"/>
    <n v="11"/>
    <m/>
    <m/>
    <m/>
    <e v="#N/A"/>
    <s v="Proced. MP"/>
    <s v="MP"/>
  </r>
  <r>
    <s v="MP-0015"/>
    <d v="2025-04-28T00:00:00"/>
    <s v="Tao"/>
    <s v="Felipe"/>
    <s v="Incidencia"/>
    <s v="Incidencia"/>
    <x v="0"/>
    <x v="4"/>
    <s v="Problema de SEPA"/>
    <s v="SEPA扣款的问题"/>
    <s v="1. El cargo no se realiza, cuando el cliente tiene varias cuentas bancarias, y una de ellas está bloqueadas._x000a_2. Cuando se mete un SEPA, receptor del pago (Main Paper), aparece como caracteres ilegibles, hay que modificarlo manualmente."/>
    <s v="Media"/>
    <s v="08/05/2025 Verificar el proceso con MP_x000a_1.Una cuenta bancaria bloqueada no causa que no se realice el cargo es mas un a cuenta bancaria del cliente no se puede bloquear._x000a_2.Que los caracteres sean ilegibles puede ser un error de origen que información es?/_x000a_05/06/2026 - parte ya realizado Necesario ver otra parte con Miguel"/>
    <s v="S4/hana"/>
    <s v="AHY"/>
    <x v="0"/>
    <d v="2025-06-30T00:00:00"/>
    <d v="2025-07-07T00:00:00"/>
    <d v="2025-06-09T00:00:00"/>
    <m/>
    <s v="ES"/>
    <d v="2025-07-02T00:00:00"/>
    <m/>
    <s v="No"/>
    <s v="Proceso"/>
    <m/>
    <s v="N/A"/>
    <n v="6.5"/>
    <m/>
    <m/>
    <m/>
    <e v="#N/A"/>
    <s v="Configuración y desarrollos. "/>
    <s v="Altim"/>
  </r>
  <r>
    <s v="MP-0016"/>
    <d v="2025-04-28T00:00:00"/>
    <s v="Tao"/>
    <s v="Felipe"/>
    <s v="Incidencia"/>
    <s v="Evolutivo"/>
    <x v="0"/>
    <x v="4"/>
    <s v="La app &quot;Gestión de partidas deudor&quot;, queremos que aparece información de los comerciales / vendedores, para distinguir diferente forma de pago "/>
    <s v="应收账款管理界面，需要加入业务员信息，以区分客人的不同付款类型。"/>
    <m/>
    <s v="Alta"/>
    <s v="08/05/2025 se le envia la app con la vía de pago_x000a_13/04/2025 Se pone a la espera del cliente._x000a_14/05/2025 Se contesta con una solución alternativa donde se ve la información visual… Se cambia a Alta._x000a_16/05/2025 Se agenda una reunión para confirmar requerimientos._x000a_19/05/2025 Ampliar campos tanto en pantalla como CDS_x000a_26/05/2025 Esta valorandose por la parte tecnica./Valorandose por la parte técnica y confirmado con el usaurio_x000a_30/05/2025 Descartamos por que técnicamente no se puede hacer"/>
    <s v="S4/hana"/>
    <s v="M.A"/>
    <x v="3"/>
    <m/>
    <m/>
    <m/>
    <m/>
    <s v="ES"/>
    <m/>
    <m/>
    <s v="No"/>
    <s v="Proceso"/>
    <m/>
    <s v="N/A"/>
    <n v="1.5"/>
    <s v="Valorandose por la parte técnica y confirmado con el usaurio"/>
    <m/>
    <s v="Se para, , actualmente no es viable técnicament."/>
    <d v="1899-12-30T00:00:00"/>
    <s v="Proced. MP"/>
    <s v="MP"/>
  </r>
  <r>
    <s v="MP-0017"/>
    <d v="2025-04-28T00:00:00"/>
    <s v="Ana"/>
    <s v="Felipe "/>
    <s v="Incidencia"/>
    <s v="Evolutivo"/>
    <x v="0"/>
    <x v="4"/>
    <s v="Correcta actualización de los tipos de cambio . Formación para actualizar los tipos de cambio"/>
    <s v="正确更新汇率"/>
    <m/>
    <s v="Media"/>
    <s v="08/05/2025 Actualmente se actualizan los tipos de cambios manualmente./_x000a_03/06/2025 Se enseña al usuario a actualizar los tipos de cambio._x000a_06/06/2025 Se forma al usuario para que actualice el tipo de cambio masivamente y manual"/>
    <s v="S4/hana"/>
    <s v="AHY"/>
    <x v="0"/>
    <d v="2025-07-09T00:00:00"/>
    <d v="2025-07-16T00:00:00"/>
    <d v="2025-07-16T00:00:00"/>
    <m/>
    <s v="ES"/>
    <d v="2025-06-09T00:00:00"/>
    <s v="Sin retraso"/>
    <s v="No"/>
    <s v="Proceso"/>
    <m/>
    <s v="N/A"/>
    <n v="2"/>
    <m/>
    <m/>
    <m/>
    <e v="#N/A"/>
    <s v="Proced. MP"/>
    <s v="Altim"/>
  </r>
  <r>
    <s v="MP-00171"/>
    <d v="2025-04-28T00:00:00"/>
    <s v="Ana"/>
    <s v="Felipe "/>
    <m/>
    <s v="Evolutivo"/>
    <x v="0"/>
    <x v="6"/>
    <s v="Revisar RPA y modificarlo"/>
    <s v="正确更新汇率"/>
    <m/>
    <s v="Alta"/>
    <s v="06/05/2025 Actualmente hay un workaroun y se ha enselñado a hacer manualmente_x000a_11/06/2025 En la reunión de seguimiento se confirma por parte de MP que esta fucnionando Mandar correo par informar de la fecha de entrada. Se cierra"/>
    <m/>
    <s v="AHY"/>
    <x v="0"/>
    <d v="2025-09-09T00:00:00"/>
    <d v="2025-09-16T00:00:00"/>
    <d v="2025-09-16T00:00:00"/>
    <m/>
    <s v="ES"/>
    <d v="2025-07-11T00:00:00"/>
    <s v="Sin retraso"/>
    <m/>
    <m/>
    <m/>
    <s v="N/A"/>
    <n v="1.5"/>
    <m/>
    <m/>
    <m/>
    <m/>
    <s v="Configuración y desarrollos. "/>
    <s v="Altim"/>
  </r>
  <r>
    <s v="MP-0018"/>
    <d v="2025-04-28T00:00:00"/>
    <s v="Felipe"/>
    <s v="Felipe"/>
    <s v="Incidencia"/>
    <s v="Evolutivo"/>
    <x v="1"/>
    <x v="4"/>
    <s v="Valoración de existencias"/>
    <s v="库存价值"/>
    <m/>
    <s v="Crítica"/>
    <s v="08/05/2025 Verificar el proceso con MP/_x000a_06/06/2025 Importante intentar "/>
    <s v="S4/hana"/>
    <s v="LCC"/>
    <x v="3"/>
    <m/>
    <m/>
    <m/>
    <m/>
    <s v="ES"/>
    <m/>
    <m/>
    <s v="No"/>
    <s v="Proceso"/>
    <m/>
    <s v="N/A"/>
    <n v="0"/>
    <m/>
    <m/>
    <m/>
    <e v="#N/A"/>
    <s v="Configuración y desarrollos. "/>
    <s v="MP"/>
  </r>
  <r>
    <s v="MP-0019"/>
    <d v="2025-04-28T00:00:00"/>
    <s v="Ana"/>
    <s v="Felipe"/>
    <s v="Incidencia"/>
    <s v="Incidencia"/>
    <x v="0"/>
    <x v="3"/>
    <s v="Descuadre de saldos en cuentas contables"/>
    <s v="NAV和SAP中的会计科目余额不匹配"/>
    <m/>
    <s v="Media"/>
    <s v="08/05/2025 Se necesita un listado de las cuentas de mayor que descuadran contablemente/_x000a_11/06/2025 Se va realizando el soporte según identifique el usuario._x000a_Se hacen ajustes de parametrización según demanda"/>
    <s v="S4/hana"/>
    <s v="M.A"/>
    <x v="3"/>
    <m/>
    <m/>
    <m/>
    <m/>
    <s v="ES"/>
    <m/>
    <m/>
    <s v="No"/>
    <s v="Proceso"/>
    <m/>
    <s v="N/A"/>
    <n v="0"/>
    <m/>
    <m/>
    <m/>
    <e v="#N/A"/>
    <s v="Configuración y desarrollos. "/>
    <s v="MP"/>
  </r>
  <r>
    <s v="MP-0020"/>
    <d v="2025-04-28T00:00:00"/>
    <s v="Luna"/>
    <s v="Felipe"/>
    <s v="Incidencia"/>
    <s v="Incidencia"/>
    <x v="0"/>
    <x v="3"/>
    <s v="Tolerancia en diferencias de pagos de 1€"/>
    <s v=" 1 欧元的付款差异"/>
    <s v="Es común diferencias de pago en los cobros, y se tiene que llevar esa diferencia manualmente a una cuenta contable."/>
    <s v="Baja"/>
    <s v="08/05/2025 Confirmar la cuenta de mayor a configurar/_x000a_04/06/2025 Se pone en proceso para confirmar requerimientos "/>
    <s v="S4/hana"/>
    <s v="AHY"/>
    <x v="2"/>
    <d v="2025-06-16T00:00:00"/>
    <d v="2025-06-23T00:00:00"/>
    <d v="2025-06-23T00:00:00"/>
    <m/>
    <s v="ES"/>
    <m/>
    <m/>
    <s v="No"/>
    <s v="Proceso"/>
    <m/>
    <s v="N/A"/>
    <n v="2.5"/>
    <m/>
    <m/>
    <m/>
    <e v="#N/A"/>
    <s v="Formación."/>
    <s v="MP"/>
  </r>
  <r>
    <s v="MP-0021"/>
    <d v="2025-04-28T00:00:00"/>
    <s v="Ana"/>
    <s v="Felipe"/>
    <s v="Incidencia"/>
    <s v="Incidencia"/>
    <x v="1"/>
    <x v="4"/>
    <s v="Intrastat -  errores código arancelario por 10 dígitos "/>
    <s v="Intrastat - 10 位关税代码错误"/>
    <m/>
    <s v="Baja"/>
    <s v="08/05/estan metiendo códigos incorrectos los cuales modifican una vez sacado el documento/"/>
    <s v="S4/hana"/>
    <s v="LCC"/>
    <x v="6"/>
    <m/>
    <m/>
    <m/>
    <m/>
    <s v="ES"/>
    <m/>
    <m/>
    <s v="No"/>
    <s v="Proceso"/>
    <m/>
    <s v="N/A"/>
    <n v="0"/>
    <m/>
    <m/>
    <m/>
    <e v="#N/A"/>
    <s v="Formación."/>
    <s v="MP"/>
  </r>
  <r>
    <s v="MP-0022"/>
    <d v="2025-04-28T00:00:00"/>
    <s v="Junting Fan"/>
    <s v="Felipe"/>
    <s v="Incidencia"/>
    <s v="Evolutivo"/>
    <x v="1"/>
    <x v="4"/>
    <s v="Interco automático, por ejemplo, PV200000051 en PRD. Supervisar cadena de valor."/>
    <s v="西班牙葡萄牙公司公司间自动完成采购-销售"/>
    <m/>
    <s v="Media"/>
    <s v="08/05/2025 Verificar el problema con MP/"/>
    <s v="S4/hana"/>
    <s v="LCC"/>
    <x v="6"/>
    <m/>
    <m/>
    <m/>
    <m/>
    <s v="ES"/>
    <m/>
    <m/>
    <s v="No"/>
    <s v="Proceso"/>
    <m/>
    <s v="N/A"/>
    <n v="0"/>
    <m/>
    <m/>
    <m/>
    <e v="#N/A"/>
    <s v="Proced. MP"/>
    <s v="MP"/>
  </r>
  <r>
    <s v="MP-0023"/>
    <d v="2025-04-28T00:00:00"/>
    <s v="Junting Fan"/>
    <s v="Felipe"/>
    <s v="Incidencia"/>
    <s v="Evolutivo"/>
    <x v="3"/>
    <x v="4"/>
    <s v="Meridiano Palaciano en Portugal problema con SAF-T. dígitos de 8 a 10. No esta configurado."/>
    <s v="SAP 生成SAF-T 文件，在葡萄牙税局申报，SAF-T文件报错。"/>
    <s v="Problema 1:  tabla de productos/servicios (product) &lt;cncode&gt;_x000a_Problema 2: numeración de líneas_x000a_Problema 3: número de documento aparece F2 en vez de FT"/>
    <s v="Media"/>
    <s v="08/05/2025 Actualmente SAP no es el sofware que manda los documentos a SAFT/_x000a_11/06/2025 se solicita una factura de Navisión_x000a_25/06/2025 - pasar a consultor Logístico para ver si está bien configurado el codigo Intrastat con Código arancelario"/>
    <s v="S4/hana"/>
    <s v="AHY"/>
    <x v="1"/>
    <m/>
    <m/>
    <m/>
    <m/>
    <s v="PT"/>
    <m/>
    <m/>
    <s v="No"/>
    <s v="Proceso"/>
    <m/>
    <s v="N/A"/>
    <n v="1"/>
    <m/>
    <m/>
    <m/>
    <e v="#N/A"/>
    <s v="Proced. MP"/>
    <s v="MP"/>
  </r>
  <r>
    <s v="MP-0024"/>
    <d v="2025-04-28T00:00:00"/>
    <s v="Jorge"/>
    <s v="Felipe"/>
    <s v="Incidencia"/>
    <s v="Evolutivo"/>
    <x v="0"/>
    <x v="4"/>
    <s v="Proceso de pago automático no usado por datos incorrectos. Pagos manuales. Confirming y Pagares proveedores"/>
    <s v="由于数据不正确，自动付款流程未使用。手动付款。"/>
    <m/>
    <s v="Media"/>
    <s v="08/05/2025 Necesario ver que pagos realizamos/_x000a_04/06/2025 Se pone en proceso para confirmar requerimientos _x000a_10/06/2025 Se analiza proceso y se pide mas información al usuario_x000a_23/06/2025 MP no lo hace bien. Se va a realizar un documento + formación de como se debe hacer"/>
    <s v="S4/hana"/>
    <s v="AHY"/>
    <x v="0"/>
    <d v="2025-07-26T00:00:00"/>
    <d v="2025-08-02T00:00:00"/>
    <d v="2025-08-02T00:00:00"/>
    <m/>
    <s v="ES"/>
    <d v="2025-07-03T00:00:00"/>
    <m/>
    <s v="No"/>
    <s v="Proceso"/>
    <m/>
    <s v="N/A"/>
    <n v="20.5"/>
    <m/>
    <m/>
    <m/>
    <e v="#N/A"/>
    <s v="Proced. MP"/>
    <s v="Altim"/>
  </r>
  <r>
    <s v="MP-0025"/>
    <d v="2025-04-28T00:00:00"/>
    <s v="Ana"/>
    <s v="Felipe"/>
    <s v="Incidencia"/>
    <s v="Formación"/>
    <x v="0"/>
    <x v="4"/>
    <s v="Falta formación para que los usuarios sepan cómo hacer lo siguiente: crear cuenta contable, modificar cuenta contable, modificar cuenta contable para asiento manual, bloquear cuenta contable etc."/>
    <s v="没有系统培训，相关人员无法进行以下操作：会计科目创建、更改、手动过账、锁定等操作"/>
    <m/>
    <s v="Media"/>
    <s v="08/05/2025 Actualmente esto es un proceso que lo realiza el equipo técnico de mantenimiento, respecto a la formación al usuario se puede explicar el DM pero la gestion de dicho DM es de la empresa que realiza el mantenimeinto./"/>
    <s v="S4/hana"/>
    <s v="AHY"/>
    <x v="3"/>
    <m/>
    <m/>
    <m/>
    <m/>
    <s v="ES"/>
    <m/>
    <s v="Sin retraso"/>
    <s v="No"/>
    <s v="Proceso"/>
    <m/>
    <s v="N/A"/>
    <n v="0"/>
    <m/>
    <m/>
    <m/>
    <e v="#N/A"/>
    <s v="Proced. MP"/>
    <s v="MP"/>
  </r>
  <r>
    <s v="MP-0026"/>
    <d v="2025-04-28T00:00:00"/>
    <s v="Marta"/>
    <s v="Felipe"/>
    <s v="Incidencia"/>
    <s v="Incidencia"/>
    <x v="0"/>
    <x v="4"/>
    <s v="La funcionalidad de Gestión del Crédito no funciona correctamente, ya que deja grabar los pedidos de Venta. Se puede crear pedido de venta, aunque el cliente ha superado su límite de crédito."/>
    <s v="信用额度不足的客户仍然可以划单，信用额度管理功能缺失。"/>
    <m/>
    <s v="Baja"/>
    <s v="08/05/2025 Se va a probar a realizar un pedido para verificar si la funcionalidad esta activada/_x000a_10/06/2025 Se solicita información para que te indiquen si hay algun cliente que tenga control de crédito._x000a_Parada por Chan el viernes 27"/>
    <s v="S4/hana"/>
    <s v="LJS"/>
    <x v="1"/>
    <m/>
    <m/>
    <m/>
    <m/>
    <s v="ES"/>
    <m/>
    <m/>
    <s v="No"/>
    <s v="Proceso"/>
    <m/>
    <s v="N/A"/>
    <n v="14"/>
    <m/>
    <m/>
    <m/>
    <e v="#N/A"/>
    <s v="Proced. MP"/>
    <s v="MP"/>
  </r>
  <r>
    <s v="MP-0027"/>
    <d v="2025-04-28T00:00:00"/>
    <s v="Marta"/>
    <s v="Felipe"/>
    <s v="Incidencia"/>
    <s v="Incidencia"/>
    <x v="0"/>
    <x v="4"/>
    <s v="Saldos de Activos Fijos"/>
    <s v="固定资产余额"/>
    <m/>
    <s v="Baja"/>
    <s v="08/05/2025 Una vez cerrado el Año en Navisión se extraeran los datos._x000a_Se validará con lo que hay en SAP._x000a_Se haran los ajustes contables, amortización no planificada para igualar saldos y empezar a contabilizar en Enero./"/>
    <s v="S4/hana"/>
    <s v="M.A"/>
    <x v="6"/>
    <m/>
    <m/>
    <m/>
    <m/>
    <s v="ES"/>
    <m/>
    <m/>
    <s v="No"/>
    <s v="Proceso"/>
    <m/>
    <s v="N/A"/>
    <n v="0"/>
    <m/>
    <m/>
    <m/>
    <e v="#N/A"/>
    <s v="Proced. MP"/>
    <s v="MP"/>
  </r>
  <r>
    <s v="MP-0028"/>
    <d v="2025-04-28T00:00:00"/>
    <s v="Ana"/>
    <s v="Felipe"/>
    <s v="Incidencia"/>
    <s v="Incidencia"/>
    <x v="0"/>
    <x v="4"/>
    <s v="Cuenta de mayor. Cuenta 40090000 facturas pendientes de recibir, saldo no es correcto. "/>
    <s v="待收发票科目余额不正确"/>
    <m/>
    <s v="Media"/>
    <s v="08/05/2025 Verificar con MP que es lo considera incorrecto./_x000a_02/06/2025 Workshop para confirmar como realiazs_x000a_06/06/2025 Se esta dando soporte por parte de Altim, en proceso por parte de MP"/>
    <s v="S4/hana"/>
    <s v="AHY"/>
    <x v="2"/>
    <d v="2025-09-30T00:00:00"/>
    <d v="2025-10-07T00:00:00"/>
    <d v="2025-10-07T00:00:00"/>
    <m/>
    <s v="ES"/>
    <m/>
    <m/>
    <s v="No"/>
    <s v="Proceso"/>
    <m/>
    <s v="N/A"/>
    <n v="2"/>
    <m/>
    <m/>
    <m/>
    <e v="#N/A"/>
    <s v="Proced. MP"/>
    <s v="MP"/>
  </r>
  <r>
    <s v="MP-0029"/>
    <d v="2025-04-28T00:00:00"/>
    <s v="Junting Fan, Jorge"/>
    <s v="Felipe"/>
    <s v="Incidencia"/>
    <s v="Evolutivo"/>
    <x v="0"/>
    <x v="4"/>
    <s v="Informes de cobro y pago"/>
    <s v="收款和付款报表"/>
    <m/>
    <s v="Media"/>
    <s v="08/05/2025 Verificar con MP que es lo que se necesita/_x000a_04/06/2025 Se pone en proceso para confirmar requerimientos _x000a_06/06/2025 se ha consultado al usuario y no identifica ninguna necesidad ni incidencia"/>
    <s v="S4/hana"/>
    <s v="AHY"/>
    <x v="0"/>
    <d v="2025-06-30T00:00:00"/>
    <d v="2025-07-07T00:00:00"/>
    <d v="2025-07-07T00:00:00"/>
    <m/>
    <s v="ES"/>
    <d v="2025-06-30T00:00:00"/>
    <s v="Sin retraso"/>
    <s v="No"/>
    <s v="Proceso"/>
    <m/>
    <s v="N/A"/>
    <n v="2"/>
    <m/>
    <m/>
    <m/>
    <e v="#N/A"/>
    <s v="Proced. MP"/>
    <s v="Altim"/>
  </r>
  <r>
    <s v="MP-0030"/>
    <d v="2025-04-28T00:00:00"/>
    <s v="Susana, Luna"/>
    <s v="Felipe"/>
    <s v="Incidencia"/>
    <s v="Evolutivo"/>
    <x v="0"/>
    <x v="4"/>
    <s v="Imputaciones automáticas"/>
    <s v="自动分配成本中心"/>
    <s v="Existen procesos donde se está registrando la imputación de manera manual al centro de coste cuando siempre se sigue el mismo criterio."/>
    <s v="Baja"/>
    <s v="08/05/2025 Dependiendo de la cuenta contable u otro objeto se puede configurar una imputación automática/_x000a_06/06/2025 Se extrae la información para que se le asigne el ceco correspondiente_x000a_11/06/2025 Recordar_x000a_3 semanas sin contestar se para"/>
    <s v="S4/hana"/>
    <s v="AHY"/>
    <x v="1"/>
    <m/>
    <m/>
    <m/>
    <m/>
    <s v="ES"/>
    <m/>
    <m/>
    <s v="No"/>
    <s v="Proceso"/>
    <m/>
    <s v="N/A"/>
    <n v="1.5"/>
    <m/>
    <m/>
    <m/>
    <e v="#N/A"/>
    <s v="Proced. MP"/>
    <s v="MP"/>
  </r>
  <r>
    <s v="MP-0031"/>
    <d v="2025-04-28T00:00:00"/>
    <s v="Luna"/>
    <s v="Felipe"/>
    <s v="Incidencia"/>
    <s v="Incidencia"/>
    <x v="3"/>
    <x v="4"/>
    <s v="Errores con transacción VF04"/>
    <s v="VF04 APP 功能缺失"/>
    <s v="1. En la interfaz de facturación, solo puede ver el importe sin impuestos y debe mostrar la tasa impositiva o el monto después de impuestos._x000a_2. No se actualiza el importe si modificamos el pedido._x000a_3. La interfaz VF04 no se puede guardar después del ajuste."/>
    <s v="Baja"/>
    <s v="/"/>
    <s v="S4/hana"/>
    <s v="RMB"/>
    <x v="6"/>
    <m/>
    <m/>
    <m/>
    <m/>
    <s v="ES"/>
    <m/>
    <m/>
    <s v="No"/>
    <s v="Proceso"/>
    <m/>
    <s v="N/A"/>
    <n v="0"/>
    <m/>
    <m/>
    <m/>
    <e v="#N/A"/>
    <s v="Integraciones"/>
    <s v="MP"/>
  </r>
  <r>
    <s v="MP-0032"/>
    <d v="2025-04-28T00:00:00"/>
    <m/>
    <s v="Felipe"/>
    <s v="Incidencia"/>
    <s v="Evolutivo"/>
    <x v="0"/>
    <x v="4"/>
    <s v="Manuales erróneos"/>
    <s v="用户手册错误"/>
    <m/>
    <s v="Baja"/>
    <s v="11/06/2025 pte de confirmar manuales"/>
    <s v="S4/hana"/>
    <s v="LJS"/>
    <x v="5"/>
    <d v="2025-09-30T00:00:00"/>
    <d v="2025-10-07T00:00:00"/>
    <d v="2025-10-07T00:00:00"/>
    <m/>
    <s v="ES"/>
    <m/>
    <m/>
    <s v="No"/>
    <s v="Proceso"/>
    <m/>
    <s v="N/A"/>
    <n v="0"/>
    <m/>
    <m/>
    <m/>
    <e v="#N/A"/>
    <s v="Integraciones"/>
    <s v="Altim"/>
  </r>
  <r>
    <s v="MP-0033"/>
    <d v="2025-04-28T00:00:00"/>
    <s v="Luna"/>
    <s v="Felipe"/>
    <s v="Incidencia"/>
    <s v="Evolutivo"/>
    <x v="3"/>
    <x v="4"/>
    <s v="Copia de pedidos"/>
    <s v="正单复制订单的时候，每个行项目要一条一条按回车确认。开退单的时候，也要一条一条按回车。总结，类似复制订单的操作的时候，都需要每一行回车。"/>
    <s v="Cuando se copia un pedido de venta, se tiene que confirmar posición por posición. Cuando se emite una factura rectificativa, también hay que confirmar posición por posición. No es eficiente."/>
    <s v="Baja"/>
    <s v="/"/>
    <s v="S4/hana"/>
    <s v="RMB"/>
    <x v="6"/>
    <m/>
    <m/>
    <m/>
    <m/>
    <s v="ES"/>
    <m/>
    <m/>
    <s v="No"/>
    <s v="Proceso"/>
    <m/>
    <s v="N/A"/>
    <n v="0"/>
    <m/>
    <m/>
    <m/>
    <e v="#N/A"/>
    <s v="Proced. MP"/>
    <s v="MP"/>
  </r>
  <r>
    <s v="MP-0034"/>
    <d v="2025-04-30T00:00:00"/>
    <m/>
    <s v="Lu WANG"/>
    <s v="Incidencia"/>
    <s v="Incidencia"/>
    <x v="0"/>
    <x v="4"/>
    <s v="Facturas / Nota de crédito mal recargo equivalencia"/>
    <m/>
    <s v="listado de las Facturas / Nota de crédito que hemos identificado que está mal recargo equivalencia. _x000a__x000a_Nos comentáis. _x000a__x000a_90006819_x000a_90006815_x000a_90006813_x000a_90006812_x000a_90006809_x000a_90006806_x000a_90006799_x000a_90006798_x000a_90006793_x000a_90006838_x000a_90006829_x000a_90006918_x000a_90006826_x000a_90006825_x000a_90006824_x000a_90006822_x000a_90006788_x000a_90006787_x000a_90006786_x000a_90006783_x000a_90006780_x000a_90006776_x000a_90006775_x000a_90006672_x000a_90006674_x000a_90006675_x000a_90006679_x000a_90006659_x000a_90006660_x000a_90006661_x000a_90006668_x000a_90006670_x000a_90006658_x000a_90006657_x000a_90006625_x000a_90006623_x000a_90006621_x000a_90006653_x000a_90006652_x000a_90006680_x000a_90006681_x000a_90006687_x000a_90006689_x000a_90006691_x000a_90006695_x000a_90006696_x000a_90006698_x000a_90006701_x000a_90006627_x000a_90006497_x000a_90006492_x000a_90006491_x000a_90006488_x000a_90006485_x000a_90006482_x000a_90006479_x000a_90006478_x000a_90006475_x000a_90006474_x000a_90006472_x000a_90006469_x000a_90006639_x000a_90006636_x000a_90006638_x000a_90006647_x000a_90006651_x000a_90006516_x000a_90006504_x000a_90006632_x000a_90006641_x000a_90006645_x000a_90006500_x000a_90006528_x000a_90006527_x000a_90006526_x000a_90006525_x000a_90006524_x000a_00*0006523_x000a_90006514_x000a_90006508_x000a_90006503_x000a_90006541_x000a_90006477_x000a_90006462_x000a_90006538_x000a_90006539_x000a_90006542_x000a_90006543_x000a_90006544_x000a_90006545_x000a_90006501_x000a_90006456_x000a_ES25007842_x000a_ES25008480_x000a_ES01001753_x000a_"/>
    <s v="Alta"/>
    <s v="6/05/2025 Verificando el comportamiento de los indcadores de IVA._x000a_Se recibe el listado de facturas con el Recargo de equivalencia errorne._x000a_Verificando el proceso con el suaurio ya que los importes contabilizados en el IVA repercutido son incorrectos._x000a_Se ha confirmado con el usuario que ahora el IVA funciona correctamente , se tiene que definir el proceso para que cancelen la factura y vuelvan a contabilizarla._x000a_19/05/2025 Se cierra/Coonfirmado cierre la semana pasada"/>
    <s v="S4/hana"/>
    <s v="MPP"/>
    <x v="0"/>
    <d v="2025-05-19T00:00:00"/>
    <d v="2025-05-19T00:00:00"/>
    <d v="2025-05-19T00:00:00"/>
    <m/>
    <s v="ES"/>
    <d v="2025-05-19T00:00:00"/>
    <s v="Sin retraso"/>
    <s v="No"/>
    <s v="Proceso"/>
    <m/>
    <s v="N/A"/>
    <n v="3"/>
    <s v="Coonfirmado cierre la semana pasada"/>
    <m/>
    <s v="Se analiza y se explica el proceso porque se calcula correctamente"/>
    <d v="1899-12-30T00:00:00"/>
    <m/>
    <s v="Altim"/>
  </r>
  <r>
    <s v="MP-0035"/>
    <d v="2025-05-05T00:00:00"/>
    <s v="JuanMa"/>
    <s v="Lu WANG"/>
    <s v="Incidencia"/>
    <s v="Proyecto"/>
    <x v="2"/>
    <x v="5"/>
    <s v="No hay una sincronización entre SGA  y SAP:_x000a_1.SGA cuando hace la entrega, viaja a SAP, hace el picking y viaja a SAP, hace la salida y viaja a SAP y en SAP no contabiliza por motivos desconocidos._x000a_2. Los almacenes que hay en SGA no coinciden con los que hay en SAP (no se quiso replicarlos). Es imprescindible definir la arquitectura necesaria para que SGA pueda llevar la trazabilidad deseada._x000a_3. Cuando cambia unidad de medida en SAP, no se cambia en el CRM._x000a_4. Cuando se registra el picking y se pasa la entrega a SAP, la API es muy lenta_x000a_5. Todo lo que tiene que ver con estados, modificación de un pedido, etc. no comunica (Problema de API)._x000a_Se desconoce cómo cerrar Pedidos de venta que tienen entregas parciales: tienen mucho stock “colgado”, que aparece como reservado y no es así._x000a_Los pedidos de venta que tienen más de 2000 posiciones no entran en SAP desde CRM, parece que SAP no lo permite._x000a_El pedido de MM no puede ser más de 9999._x000a__x000a__x000a__x000a__x000a__x000a_"/>
    <m/>
    <m/>
    <s v="Alta"/>
    <s v="05/05/2025 MA:_x000a_Documentos Obligatorios._x000a_- Pedido_x000a_- Albaran    _x000a_              Delivery 8xxxx - ENTXXX_x000a_              Movimiento de mercancias 49xxx_x000a_- Factura_x000a_Si existe diferencia entre lo entregado y lo facturado no sale la factura - Esto es lo que se quiere._x000a_Si no hay diferencias se contabiliza a Pendiente de facturar._x000a_SGA sólo entrega el máximo de lo pedido._x000a_MP tiene que confirmar independientemente de que se contabiliza aunque la cantidad no coincida._x000a_MP tiene que confirmar que se hace con el Albaran de SGA?_x000a_Todas las entregas que se han generado en Diciembre_x000a_Los almacenes no estan Alineados:_x000a_-Se quiere destruir._x000a_-Cuando la calidad es mala._x000a_-Diferencias de Inventario._x000a_-Por devolución._x000a_-Hasta 8 alamcenes_x000a_SAP tiene materiales con dos staus: Bloqueado o disponible,_x000a_No  se puede consultar la información del almacen , sólo hasta Marzo_x000a_Verificar que es lo que hay en cada sistema SGA y SAP._x000a_Revisar los procesos con los responsables, _x000a_06/05/2025 MA: Parado por haberse priorizado la subcontratación./En proceso"/>
    <s v="S4/hana"/>
    <s v="LCC"/>
    <x v="1"/>
    <m/>
    <m/>
    <m/>
    <m/>
    <s v="ES"/>
    <m/>
    <m/>
    <s v="No"/>
    <s v="Proceso"/>
    <n v="1"/>
    <s v="N/A"/>
    <n v="7"/>
    <s v="En proceso"/>
    <m/>
    <s v="Nivel funcional parado por priorizacion de otras incidencias de Logística"/>
    <d v="1899-12-30T00:00:00"/>
    <s v="Proced. MP"/>
    <s v="MP"/>
  </r>
  <r>
    <s v="MP-00351"/>
    <d v="2025-05-20T00:00:00"/>
    <m/>
    <s v="Liu Yalu"/>
    <m/>
    <s v="Proyecto"/>
    <x v="2"/>
    <x v="5"/>
    <s v="Revisión Integración Suite"/>
    <m/>
    <m/>
    <s v="Alta"/>
    <s v="20/05/2025 Revisión y pregunta de requerimientos._x000a_                      Se propone hacer un inventario de las interfaces, donde pueda ver origen, destino, urls de conexión, interface y descripción/Se prioriza revisar las *PRD de SGA_x000a_11/06/2025 Funcionalidad: Para que sirve._x000a_Acciones a realizar por Altim: si es necesario realizar algo por nuestra parte para corregir la integración"/>
    <s v="S4/hana"/>
    <s v="AL"/>
    <x v="5"/>
    <d v="2025-09-30T00:00:00"/>
    <d v="2025-10-07T00:00:00"/>
    <d v="2025-10-07T00:00:00"/>
    <m/>
    <s v="ES"/>
    <m/>
    <m/>
    <m/>
    <m/>
    <m/>
    <s v="N/A"/>
    <n v="54"/>
    <s v="Se prioriza revisar las *PRD de SGA"/>
    <m/>
    <s v="En revisión las funciones que se estan utilizando"/>
    <d v="1899-12-30T00:00:00"/>
    <s v="Proced. MP"/>
    <s v="Altim"/>
  </r>
  <r>
    <s v="MP-0036"/>
    <d v="2025-05-05T00:00:00"/>
    <m/>
    <s v="Liu Yalu"/>
    <s v="Incidencia"/>
    <s v="Incidencia"/>
    <x v="2"/>
    <x v="4"/>
    <s v="Disponibilidad de stock errónea en CRM"/>
    <m/>
    <m/>
    <s v="Baja"/>
    <s v="/"/>
    <s v="S4/hana"/>
    <s v="AL"/>
    <x v="6"/>
    <m/>
    <m/>
    <m/>
    <m/>
    <s v="ES"/>
    <m/>
    <m/>
    <s v="No"/>
    <s v="Proceso"/>
    <m/>
    <s v="N/A"/>
    <n v="0"/>
    <m/>
    <m/>
    <m/>
    <e v="#N/A"/>
    <s v="Proced. MP"/>
    <s v="MP"/>
  </r>
  <r>
    <s v="MP-0037"/>
    <d v="2025-05-05T00:00:00"/>
    <m/>
    <s v="Liu Yalu"/>
    <s v="Incidencia"/>
    <s v="Incidencia"/>
    <x v="2"/>
    <x v="4"/>
    <s v="CRM consulta el MRP de SAP y cuenta con 990 unidades disponibles provenientes de un pedido de compra no recibido, pero con fecha prevista de entrada anterior a la fecha de entrega a cliente prevista."/>
    <m/>
    <m/>
    <s v="Baja"/>
    <s v="/"/>
    <s v="S4/hana"/>
    <s v="AL"/>
    <x v="6"/>
    <m/>
    <m/>
    <m/>
    <m/>
    <s v="ES"/>
    <m/>
    <m/>
    <s v="No"/>
    <s v="Proceso"/>
    <m/>
    <s v="N/A"/>
    <n v="0"/>
    <m/>
    <m/>
    <m/>
    <e v="#N/A"/>
    <s v="Proced. MP"/>
    <s v="MP"/>
  </r>
  <r>
    <s v="MP-0038"/>
    <d v="2025-05-05T00:00:00"/>
    <m/>
    <s v="Liu Yalu"/>
    <s v="Incidencia"/>
    <s v="Incidencia"/>
    <x v="2"/>
    <x v="4"/>
    <s v="Aparentemente es CRM quien está operando de manera errónea. No descuenta del stock disponible los pedidos de venta procesados, y permite la venta de stock  no disponible realmente"/>
    <m/>
    <m/>
    <s v="Baja"/>
    <s v="/"/>
    <s v="S4/hana"/>
    <s v="AL"/>
    <x v="6"/>
    <m/>
    <m/>
    <m/>
    <m/>
    <s v="ES"/>
    <m/>
    <m/>
    <s v="No"/>
    <s v="Proceso"/>
    <m/>
    <s v="N/A"/>
    <n v="0"/>
    <m/>
    <m/>
    <m/>
    <e v="#N/A"/>
    <s v="Proced. MP"/>
    <s v="MP"/>
  </r>
  <r>
    <s v="MP-0039"/>
    <d v="2025-05-05T00:00:00"/>
    <m/>
    <s v="Liu Yalu"/>
    <s v="Incidencia"/>
    <s v="Incidencia"/>
    <x v="3"/>
    <x v="4"/>
    <s v="Envío automático de  Excel y Factura al correo del cliente: Tienen en el maestro del cliente en los campos de los atributos algo para enviar el Excel."/>
    <m/>
    <m/>
    <s v="Baja"/>
    <s v="/"/>
    <s v="S4/hana"/>
    <s v="RMB"/>
    <x v="6"/>
    <m/>
    <m/>
    <m/>
    <m/>
    <s v="ES"/>
    <m/>
    <m/>
    <s v="No"/>
    <s v="Proceso"/>
    <m/>
    <s v="N/A"/>
    <n v="0"/>
    <m/>
    <m/>
    <m/>
    <e v="#N/A"/>
    <s v="Proced. MP"/>
    <s v="MP"/>
  </r>
  <r>
    <s v="MP-0040"/>
    <d v="2025-05-05T00:00:00"/>
    <m/>
    <s v="Liu Yalu"/>
    <s v="Incidencia"/>
    <s v="Incidencia"/>
    <x v="3"/>
    <x v="4"/>
    <s v="Tienen una APP &quot;Facturas Excel&quot;"/>
    <m/>
    <m/>
    <s v="Baja"/>
    <s v="/"/>
    <s v="S4/hana"/>
    <s v="RMB"/>
    <x v="6"/>
    <m/>
    <m/>
    <m/>
    <m/>
    <s v="ES"/>
    <m/>
    <m/>
    <s v="No"/>
    <s v="Proceso"/>
    <m/>
    <s v="N/A"/>
    <n v="0"/>
    <m/>
    <m/>
    <m/>
    <e v="#N/A"/>
    <s v="Proced. MP"/>
    <s v="MP"/>
  </r>
  <r>
    <s v="MP-00402"/>
    <d v="2025-05-05T00:00:00"/>
    <m/>
    <s v="Liu Yalu"/>
    <s v="Incidencia"/>
    <s v="Incidencia"/>
    <x v="3"/>
    <x v="4"/>
    <s v="Autosuministrar: permitir que, mediante un job, se suministre el pedido de manera automática; cuando se quite el bloqueo de entrega = CRM. Es un job que ha funcionado, pero &quot;demasiado&quot;. Debería suministrar todo lo que dias atrás incluso este sin suministrar. El job crea solo la entrega. El Picking lo hace SGA"/>
    <m/>
    <m/>
    <s v="Baja"/>
    <s v="/"/>
    <s v="S4/hana"/>
    <s v="RMB"/>
    <x v="6"/>
    <m/>
    <m/>
    <m/>
    <m/>
    <s v="ES"/>
    <m/>
    <m/>
    <s v="No"/>
    <s v="Proceso"/>
    <m/>
    <s v="N/A"/>
    <n v="0"/>
    <m/>
    <m/>
    <m/>
    <e v="#N/A"/>
    <s v="Proced. MP"/>
    <s v="MP"/>
  </r>
  <r>
    <s v="MP-0041"/>
    <d v="2025-05-05T00:00:00"/>
    <m/>
    <s v="Liu Yalu"/>
    <s v="Incidencia"/>
    <s v="Incidencia"/>
    <x v="3"/>
    <x v="4"/>
    <s v="Restricción de acceso de JEFE DE VENTA a exclusivamente sus vendedores, Zhen, Marcos Fernando, Sabrina. Que los Jefes de Venta solo puedan ver lo de su departamento: _x000a_- Multiprecio_x000a_- Tradicional_x000a_- Grandes Superficies_x000a_Por ejemplo, los vendedores de CHEN empiezan por 8 y están como interlocutores en los pedidos de venta"/>
    <m/>
    <m/>
    <s v="Baja"/>
    <s v="/"/>
    <s v="S4/hana"/>
    <s v="RMB"/>
    <x v="6"/>
    <m/>
    <m/>
    <m/>
    <m/>
    <s v="ES"/>
    <m/>
    <m/>
    <s v="No"/>
    <s v="Proceso"/>
    <m/>
    <s v="N/A"/>
    <n v="0"/>
    <m/>
    <m/>
    <m/>
    <e v="#N/A"/>
    <s v="Proced. MP"/>
    <s v="MP"/>
  </r>
  <r>
    <s v="MP-00411"/>
    <d v="2025-05-05T00:00:00"/>
    <m/>
    <s v="Liu Yalu"/>
    <s v="Incidencia"/>
    <s v="Incidencia"/>
    <x v="3"/>
    <x v="4"/>
    <s v="Tablón de estadísticas logísticas: seguimiento del pedido al cliente. Interfaz con operador logístico. Trabajan con 4 o 5 transportistas"/>
    <m/>
    <m/>
    <s v="Baja"/>
    <s v="/"/>
    <s v="S4/hana"/>
    <s v="RMB"/>
    <x v="6"/>
    <m/>
    <m/>
    <m/>
    <m/>
    <s v="ES"/>
    <m/>
    <m/>
    <s v="No"/>
    <s v="Proceso"/>
    <m/>
    <s v="N/A"/>
    <n v="0"/>
    <m/>
    <m/>
    <m/>
    <e v="#N/A"/>
    <s v="Proced. MP"/>
    <s v="MP"/>
  </r>
  <r>
    <s v="MP-00412"/>
    <d v="2025-05-05T00:00:00"/>
    <m/>
    <s v="Liu Yalu"/>
    <s v="Incidencia"/>
    <s v="Incidencia"/>
    <x v="3"/>
    <x v="4"/>
    <s v="Diferencia de importe: necesita poder imprimir PDF: se necesita una factura rectificativa. Necesitan que de la clase de pedido CBAR salga factura rectificativa. Con el documento de diferencia de precios no se puede conciliar en Finanzas. Ejemplo1600000797 en PRD. Meten un asiento directamente por FI (DG) y quieren sacar un documento impreso. Otro es el DR"/>
    <m/>
    <m/>
    <s v="Baja"/>
    <s v="/"/>
    <s v="S4/hana"/>
    <s v="RMB"/>
    <x v="6"/>
    <m/>
    <m/>
    <m/>
    <m/>
    <s v="ES"/>
    <m/>
    <m/>
    <s v="No"/>
    <s v="Proceso"/>
    <m/>
    <s v="N/A"/>
    <n v="0"/>
    <m/>
    <m/>
    <m/>
    <e v="#N/A"/>
    <s v="Proced. MP"/>
    <s v="MP"/>
  </r>
  <r>
    <s v="MP-00413"/>
    <d v="2025-05-05T00:00:00"/>
    <m/>
    <s v="Liu Yalu"/>
    <s v="Incidencia"/>
    <s v="Incidencia"/>
    <x v="3"/>
    <x v="4"/>
    <s v="Finanzas quiere  ver los comentarios del pedido en el pool de facturación. Por ejemplo, el pedidoYG25001309 en PRD. En la pestaña &quot;campos libres&quot; hay un comentario, y quieren que facturación lo vea y han pensado en la VF04"/>
    <m/>
    <m/>
    <s v="Baja"/>
    <s v="/"/>
    <s v="S4/hana"/>
    <s v="RMB"/>
    <x v="6"/>
    <m/>
    <m/>
    <m/>
    <m/>
    <s v="ES"/>
    <m/>
    <m/>
    <s v="No"/>
    <s v="Proceso"/>
    <m/>
    <s v="N/A"/>
    <n v="0"/>
    <m/>
    <m/>
    <m/>
    <e v="#N/A"/>
    <s v="Proced. MP"/>
    <s v="MP"/>
  </r>
  <r>
    <s v="MP-00414"/>
    <d v="2025-05-05T00:00:00"/>
    <m/>
    <s v="Liu Yalu"/>
    <s v="Incidencia"/>
    <s v="Incidencia"/>
    <x v="3"/>
    <x v="4"/>
    <s v="Cuando imprima la factura principal, imprima el formulario de devolución al mismo tiempo, el formulario de devolución debe fusionarse, no lo envíe al cliente por separado."/>
    <m/>
    <m/>
    <s v="Baja"/>
    <s v="/"/>
    <s v="S4/hana"/>
    <s v="RMB"/>
    <x v="6"/>
    <m/>
    <m/>
    <m/>
    <m/>
    <s v="ES"/>
    <m/>
    <m/>
    <s v="No"/>
    <s v="Proceso"/>
    <m/>
    <s v="N/A"/>
    <n v="0"/>
    <m/>
    <m/>
    <m/>
    <e v="#N/A"/>
    <s v="Proced. MP"/>
    <s v="MP"/>
  </r>
  <r>
    <s v="MP-00415"/>
    <d v="2025-05-05T00:00:00"/>
    <m/>
    <s v="Liu Yalu"/>
    <s v="Incidencia"/>
    <s v="Incidencia"/>
    <x v="3"/>
    <x v="4"/>
    <s v="Ejemplo app de gestión de facturas de cliente. Ejemplo  cliente 10014924 Comercial Aldima. Juntar todo en un documento"/>
    <m/>
    <m/>
    <s v="Baja"/>
    <s v="/"/>
    <s v="S4/hana"/>
    <s v="RMB"/>
    <x v="6"/>
    <m/>
    <m/>
    <m/>
    <m/>
    <s v="ES"/>
    <m/>
    <m/>
    <s v="No"/>
    <s v="Proceso"/>
    <m/>
    <s v="N/A"/>
    <n v="0"/>
    <m/>
    <m/>
    <m/>
    <e v="#N/A"/>
    <s v="Proced. MP"/>
    <s v="MP"/>
  </r>
  <r>
    <s v="MP-00416"/>
    <d v="2025-05-05T00:00:00"/>
    <m/>
    <s v="Liu Yalu"/>
    <s v="Incidencia"/>
    <s v="Incidencia"/>
    <x v="3"/>
    <x v="4"/>
    <s v="El sistema debe permitir descargar las imágenes requeridas por los clientes. Paquetes de imágenes.  Descargar las imágenes de los productos vendidos desde la factura Ahora lo tienen en el maestro de producto por ejemplo PN331"/>
    <m/>
    <m/>
    <s v="Baja"/>
    <s v="/"/>
    <s v="S4/hana"/>
    <s v="RMB"/>
    <x v="6"/>
    <m/>
    <m/>
    <m/>
    <m/>
    <s v="ES"/>
    <m/>
    <m/>
    <s v="No"/>
    <s v="Proceso"/>
    <m/>
    <s v="N/A"/>
    <n v="0"/>
    <m/>
    <m/>
    <m/>
    <e v="#N/A"/>
    <s v="Proced. MP"/>
    <s v="MP"/>
  </r>
  <r>
    <s v="MP-0042"/>
    <d v="2025-05-05T00:00:00"/>
    <m/>
    <s v="Liu Yalu"/>
    <s v="Incidencia"/>
    <s v="Incidencia"/>
    <x v="3"/>
    <x v="4"/>
    <s v="Centralización de información: • Datos del cliente: nombre y nº de cliente• Vendedor asignado• N de factura• Importe de las facturas de ese n de factura• Importe de pedido sin facturar• Importe y número de facturas sin marcar notificación realizadas• Importe de deudas vencidas (positivas o negativas)• Importe de devoluciones (facturadas/no facturadas separadas)• Forma de pago• Notas de cliente y nota de pedido: está en la pestaña de Campos libres y son campos Z• IMPORTE TOTAL : IMPORTE TODOS LOS FACTURA – ABONOS +/- VECIDOS (SI PODRIA ELEGIR PARA TENER RESULTADO ES MEJOR)Además, es necesario incluir dos opciones adicionales en formato de casilla de verificación:1. Notificación realizada(podría marcar masiva, marcar simple NO dentro de pedido) -y podría filtrar2. Pago recibido"/>
    <m/>
    <m/>
    <s v="Baja"/>
    <s v="/"/>
    <s v="S4/hana"/>
    <s v="RMB"/>
    <x v="6"/>
    <m/>
    <m/>
    <m/>
    <m/>
    <s v="ES"/>
    <m/>
    <m/>
    <s v="No"/>
    <s v="Proceso"/>
    <m/>
    <s v="N/A"/>
    <n v="0"/>
    <m/>
    <m/>
    <m/>
    <e v="#N/A"/>
    <s v="Proced. MP"/>
    <s v="MP"/>
  </r>
  <r>
    <s v="MP-0043"/>
    <d v="2025-05-05T00:00:00"/>
    <m/>
    <s v="Liu Yalu"/>
    <s v="Incidencia"/>
    <s v="Incidencia"/>
    <x v="3"/>
    <x v="4"/>
    <s v="Descargar los formularios de forma masiva para un periodo de tiempo y ya lo guardan ellos en local"/>
    <m/>
    <m/>
    <s v="Baja"/>
    <s v="/"/>
    <s v="S4/hana"/>
    <s v="RMB"/>
    <x v="6"/>
    <m/>
    <m/>
    <m/>
    <m/>
    <s v="ES"/>
    <m/>
    <m/>
    <s v="No"/>
    <s v="Proceso"/>
    <m/>
    <s v="N/A"/>
    <n v="0"/>
    <m/>
    <m/>
    <m/>
    <e v="#N/A"/>
    <s v="Proced. MP"/>
    <s v="MP"/>
  </r>
  <r>
    <s v="MP-0044"/>
    <d v="2025-05-05T00:00:00"/>
    <m/>
    <s v="Liu Yalu"/>
    <s v="Incidencia"/>
    <s v="Incidencia"/>
    <x v="3"/>
    <x v="4"/>
    <s v="Debe haber una sección que resuma todas las facturas, devoluciones y comprobantes registrados (revisados) en el departamento de finanzas. Las facturas son números positivos y las devoluciones, números negativos. Y mostrar el saldo vencido no liquidado de la cuenta del cliente. Hay información del pedido correspondiente, información del cliente, información del vendedor, fecha de factura. Marcar que ya se ha informado al cliente. Esta sección contiene todos los pedidos no Facturados"/>
    <m/>
    <m/>
    <s v="Baja"/>
    <s v="/"/>
    <s v="S4/hana"/>
    <s v="RMB"/>
    <x v="6"/>
    <m/>
    <m/>
    <m/>
    <m/>
    <s v="ES"/>
    <m/>
    <m/>
    <s v="No"/>
    <s v="Proceso"/>
    <m/>
    <s v="N/A"/>
    <n v="0"/>
    <m/>
    <m/>
    <m/>
    <e v="#N/A"/>
    <s v="Proced. MP"/>
    <s v="MP"/>
  </r>
  <r>
    <s v="MP-0045"/>
    <d v="2025-05-05T00:00:00"/>
    <m/>
    <s v="Liu Yalu"/>
    <s v="Incidencia"/>
    <s v="Incidencia"/>
    <x v="3"/>
    <x v="4"/>
    <s v="Al crear la orden de devolución en SAP se identifica el último precio de venta, aunque sea por referencia ¿Puedo recibir un recordatorio cuando ingrese números de productos duplicados? El problema es que hacen devoluciones sin referencia y meten manualmente los productos a devolver, quieren que el sistema sepa el precio al que se vendió. "/>
    <m/>
    <m/>
    <s v="Baja"/>
    <s v="/"/>
    <s v="S4/hana"/>
    <s v="RMB"/>
    <x v="6"/>
    <m/>
    <m/>
    <m/>
    <m/>
    <s v="ES"/>
    <m/>
    <m/>
    <s v="No"/>
    <s v="Proceso"/>
    <m/>
    <s v="N/A"/>
    <n v="0"/>
    <m/>
    <m/>
    <m/>
    <e v="#N/A"/>
    <s v="Proced. MP"/>
    <s v="MP"/>
  </r>
  <r>
    <s v="MP-0046"/>
    <d v="2025-05-05T00:00:00"/>
    <m/>
    <s v="Liu Yalu"/>
    <s v="Incidencia"/>
    <s v="Incidencia"/>
    <x v="3"/>
    <x v="4"/>
    <s v="Se necesitan diferentes bonos aplicados a diferentes referencias. Ofertas. Han creado como material un descuento"/>
    <m/>
    <m/>
    <s v="Baja"/>
    <s v="/"/>
    <s v="S4/hana"/>
    <s v="RMB"/>
    <x v="6"/>
    <m/>
    <m/>
    <m/>
    <m/>
    <s v="ES"/>
    <m/>
    <m/>
    <s v="No"/>
    <s v="Proceso"/>
    <m/>
    <s v="N/A"/>
    <n v="0"/>
    <m/>
    <m/>
    <m/>
    <e v="#N/A"/>
    <s v="Proced. MP"/>
    <s v="MP"/>
  </r>
  <r>
    <s v="MP-0047"/>
    <d v="2025-05-05T00:00:00"/>
    <m/>
    <s v="Liu Yalu"/>
    <s v="Incidencia"/>
    <s v="Incidencia"/>
    <x v="3"/>
    <x v="4"/>
    <s v="Interco automático, por ejemplo, PV200000051 en PRD. Supervisar cadena de valor"/>
    <m/>
    <m/>
    <s v="Baja"/>
    <s v="/"/>
    <s v="S4/hana"/>
    <s v="RMB"/>
    <x v="6"/>
    <m/>
    <m/>
    <m/>
    <m/>
    <s v="ES"/>
    <m/>
    <m/>
    <s v="No"/>
    <s v="Proceso"/>
    <m/>
    <s v="N/A"/>
    <n v="0"/>
    <m/>
    <m/>
    <m/>
    <e v="#N/A"/>
    <m/>
    <s v="MP"/>
  </r>
  <r>
    <s v="MP-0048"/>
    <d v="2025-05-05T00:00:00"/>
    <m/>
    <s v="Ana"/>
    <s v="Incidencia"/>
    <s v="Petición"/>
    <x v="1"/>
    <x v="4"/>
    <s v="Petición INTRASTAT.Hemos punteado el intrastat de facturas emitidas del mes de mayo antes de su presentación. El informe de intrastat en SAP no sale completo en relación al listado de facturas intracomunitarias que hemos sacado filtrando por indicador de IVA (Indicador 00 entrega intracomunit de bienes)._x000a__x000a_Hemos observado, como dato, que las facturas que faltan en el informe son abonos o facturas con tipo de asiento contable RV. Por si tuviera algo qué ver._x000a__x000a_ _x000a__x000a_Os adjunto en Excel el informe que sale de intrastat para su presentación, el listado de facturas intracomunitarias y el listado de las facturas intracomunitarias que no están incluidas en el informe de INTRASTAT._x000a__x000a_Por favor, decidme lo antes posible cómo podemos incluir esas facturas en el informe para poder hacer la presentación del mes de Mayo lo antes posible. Se supone que hoy es el último día._x000a__x000a_ _x000a__x000a_En algún momento hay que hacer lo mismo con las presentaciones de DE ENERO A ABRIL porque entiendo que habrá ocurrido lo mismo._x000a__x000a_ "/>
    <m/>
    <m/>
    <s v="Baja"/>
    <s v="12/06/2025 Se abre la incidencia con carácter urgente"/>
    <s v="S4/hana"/>
    <s v="LCC"/>
    <x v="8"/>
    <m/>
    <m/>
    <m/>
    <m/>
    <s v="ES"/>
    <m/>
    <m/>
    <s v="No"/>
    <s v="Proceso"/>
    <m/>
    <s v="N/A"/>
    <n v="0"/>
    <m/>
    <m/>
    <m/>
    <e v="#N/A"/>
    <s v="Configuración y desarrollos. "/>
    <s v="MP"/>
  </r>
  <r>
    <s v="MP-00481"/>
    <d v="2025-06-13T00:00:00"/>
    <m/>
    <s v="Ana"/>
    <s v="Incidencia"/>
    <s v="Petición"/>
    <x v="1"/>
    <x v="4"/>
    <s v="Verificar que las ejecuciones en el pasado se han enviado correctamente o hay algo que faltaba también - MP -Ana/Felipe"/>
    <m/>
    <m/>
    <s v="Media"/>
    <s v="13/06/2025 Verificar que las ejecuciones en el pasado se han enviado correctamente o hay algo que faltaba también - MP -Ana/Felipe"/>
    <m/>
    <s v="LCC"/>
    <x v="8"/>
    <m/>
    <m/>
    <m/>
    <m/>
    <s v="ES"/>
    <m/>
    <m/>
    <m/>
    <m/>
    <m/>
    <s v="N/A"/>
    <n v="0"/>
    <m/>
    <m/>
    <m/>
    <m/>
    <s v="Proced. MP"/>
    <s v="MP"/>
  </r>
  <r>
    <s v="MP-00482"/>
    <d v="2025-06-13T00:00:00"/>
    <m/>
    <s v="Ana"/>
    <s v="Incidencia"/>
    <s v="Petición"/>
    <x v="1"/>
    <x v="4"/>
    <s v="Confirmar si - Altim @Leandro Cano Contreras y @Ricardo Metola Bouzo, en este aspecto por parte de MP @Liu Yalu tienes que priorizarlo y verificar si los procesos realizados son correctos con Altim."/>
    <m/>
    <m/>
    <s v="Media"/>
    <s v="13/06/2025 Confirmar si - Altim @Leandro Cano Contreras y @Ricardo Metola Bouzo, en este aspecto por parte de MP @Liu Yalu tienes que priorizarlo y verificar si los procesos realizados son correctos con Altim."/>
    <m/>
    <s v="LCC"/>
    <x v="8"/>
    <m/>
    <m/>
    <m/>
    <m/>
    <s v="ES"/>
    <m/>
    <m/>
    <m/>
    <m/>
    <m/>
    <s v="N/A"/>
    <n v="0"/>
    <m/>
    <m/>
    <m/>
    <m/>
    <s v="Proced. MP"/>
    <s v="MP"/>
  </r>
  <r>
    <s v="MP-0049"/>
    <d v="2025-05-05T00:00:00"/>
    <m/>
    <s v="Liu Yalu"/>
    <s v="Incidencia"/>
    <s v="Incidencia"/>
    <x v="3"/>
    <x v="4"/>
    <s v="No hay abono ni factura rectificativa de Portugal"/>
    <m/>
    <m/>
    <s v="Alta"/>
    <s v="Se ha realizado pruebas con los usuarios. Se abren nuevas incidencias con los flecos que quedan."/>
    <s v="S4/hana"/>
    <s v="LCC"/>
    <x v="7"/>
    <d v="2025-06-20T00:00:00"/>
    <d v="2025-06-27T00:00:00"/>
    <d v="2025-05-26T00:00:00"/>
    <m/>
    <s v="PT"/>
    <m/>
    <m/>
    <s v="No"/>
    <s v="Proceso"/>
    <m/>
    <s v="N/A"/>
    <n v="6"/>
    <m/>
    <m/>
    <s v="Entregada el Juevese identificado nuevos GAPS"/>
    <d v="1899-12-30T00:00:00"/>
    <s v="Proced. MP"/>
    <s v="MP"/>
  </r>
  <r>
    <s v="MP-00491"/>
    <d v="2025-05-30T00:00:00"/>
    <m/>
    <s v="Lu WANG"/>
    <m/>
    <s v="Incidencia"/>
    <x v="3"/>
    <x v="4"/>
    <s v="MP-0049: Impresión inmediata de factura. Seleccionar formulario automáticamente"/>
    <m/>
    <m/>
    <s v="Media"/>
    <m/>
    <m/>
    <s v="RMB"/>
    <x v="8"/>
    <m/>
    <m/>
    <m/>
    <m/>
    <s v="ES"/>
    <m/>
    <m/>
    <m/>
    <m/>
    <m/>
    <s v="N/A"/>
    <n v="1"/>
    <m/>
    <m/>
    <m/>
    <e v="#N/A"/>
    <s v="Proced. MP"/>
    <s v="MP"/>
  </r>
  <r>
    <s v="MP-00495"/>
    <d v="2025-05-30T00:00:00"/>
    <m/>
    <s v="Lu WANG"/>
    <m/>
    <s v="Incidencia"/>
    <x v="3"/>
    <x v="4"/>
    <s v="MP-0010: Asignaciones de cuentas para devoluciones Portugal"/>
    <m/>
    <m/>
    <s v="Alta"/>
    <s v="Revisar con toda la VKOA._x000a_Bloqueadas cuentas y cambiadas en la determiancion automatica de cuentas"/>
    <m/>
    <s v="M.A"/>
    <x v="2"/>
    <m/>
    <m/>
    <m/>
    <m/>
    <s v="PT"/>
    <m/>
    <m/>
    <m/>
    <m/>
    <m/>
    <s v="N/A"/>
    <n v="9"/>
    <m/>
    <m/>
    <m/>
    <e v="#N/A"/>
    <s v="Proced. MP"/>
    <s v="MP"/>
  </r>
  <r>
    <s v="MP-0050"/>
    <d v="2025-05-05T00:00:00"/>
    <m/>
    <s v="Liu Yalu"/>
    <s v="Incidencia"/>
    <s v="Incidencia"/>
    <x v="3"/>
    <x v="4"/>
    <s v="Que aparezca en el formulario de Factura de Venta el código de Barras"/>
    <m/>
    <m/>
    <s v="Baja"/>
    <s v="/"/>
    <s v="S4/hana"/>
    <s v="RMB"/>
    <x v="6"/>
    <m/>
    <m/>
    <m/>
    <m/>
    <s v="ES"/>
    <m/>
    <m/>
    <s v="No"/>
    <s v="Proceso"/>
    <m/>
    <s v="N/A"/>
    <n v="0"/>
    <m/>
    <m/>
    <m/>
    <e v="#N/A"/>
    <s v="Proced. MP"/>
    <s v="MP"/>
  </r>
  <r>
    <s v="MP-0051"/>
    <d v="2025-05-05T00:00:00"/>
    <m/>
    <s v="Liu Yalu"/>
    <s v="Incidencia"/>
    <s v="Incidencia"/>
    <x v="3"/>
    <x v="4"/>
    <s v="Errores con transacción VF04"/>
    <m/>
    <m/>
    <s v="Baja"/>
    <s v="/"/>
    <s v="S4/hana"/>
    <s v="RMB"/>
    <x v="9"/>
    <m/>
    <m/>
    <m/>
    <m/>
    <s v="ES"/>
    <m/>
    <m/>
    <s v="No"/>
    <s v="Proceso"/>
    <m/>
    <s v="N/A"/>
    <n v="0"/>
    <m/>
    <m/>
    <m/>
    <e v="#N/A"/>
    <s v="Proced. MP"/>
    <s v="Altim"/>
  </r>
  <r>
    <s v="MP-0052"/>
    <d v="2025-05-05T00:00:00"/>
    <m/>
    <s v="Liu Yalu"/>
    <s v="Incidencia"/>
    <s v="Incidencia"/>
    <x v="3"/>
    <x v="4"/>
    <s v="Revisión del flujo de compras, sobre todo en el caso de la compra a su proveedor NINGBO, que es su fábrica en China"/>
    <m/>
    <m/>
    <s v="Baja"/>
    <s v="/"/>
    <s v="S4/hana"/>
    <s v="RMB"/>
    <x v="6"/>
    <m/>
    <m/>
    <m/>
    <m/>
    <s v="ES"/>
    <m/>
    <m/>
    <s v="No"/>
    <s v="Proceso"/>
    <m/>
    <s v="N/A"/>
    <n v="0"/>
    <m/>
    <m/>
    <m/>
    <e v="#N/A"/>
    <s v="Integraciones"/>
    <s v="MP"/>
  </r>
  <r>
    <s v="MP-0053"/>
    <d v="2025-05-05T00:00:00"/>
    <m/>
    <s v="Liu Yalu"/>
    <s v="Incidencia"/>
    <s v="Incidencia"/>
    <x v="1"/>
    <x v="4"/>
    <s v="Pedidos NINGBO"/>
    <m/>
    <m/>
    <s v="Baja"/>
    <s v="/"/>
    <s v="S4/hana"/>
    <s v="LCC"/>
    <x v="6"/>
    <m/>
    <m/>
    <m/>
    <m/>
    <s v="ES"/>
    <m/>
    <m/>
    <s v="No"/>
    <s v="Proceso"/>
    <m/>
    <s v="N/A"/>
    <n v="0"/>
    <m/>
    <m/>
    <m/>
    <e v="#N/A"/>
    <s v="Proced. MP"/>
    <s v="MP"/>
  </r>
  <r>
    <s v="MP-0054"/>
    <d v="2025-05-05T00:00:00"/>
    <m/>
    <s v="Liu Yalu"/>
    <s v="Incidencia"/>
    <s v="Incidencia"/>
    <x v="1"/>
    <x v="5"/>
    <s v="Problemas con Subcontratación Expositores"/>
    <m/>
    <s v="El Flujo esta montado en Test"/>
    <s v="Alta"/>
    <s v="Cuando un cliente compra un expositor es el proceso mas urgente, el expositor es una nueva referencia que contiene 100 PP._x000a_- Se monta expositor._x000a_- Se entregan los productos para ser vendidos. MP enviará un manual._x000a_Hasy 3 procesos:_x000a_1. Producto se recibre creado (referencia a MP0055_x000a_2.Subcontratación con salida y entrada_x000a_3.Subcontratación con salida._x000a_06/05/2025 MA:_x000a_- Verificando el proceso entre MP y Altim para planificar la fecha de entrega_x000a_De estos 3 procesos se han probado en calidad pero no estan en producción._x000a_Con Yan Lu_x000a_- Peticion de usuario SGA._x000a_12/05/2025 MP Identifica que esto es bastante importante si podemos agilizar la resolución. Workshops entre Li y Leandro para agilizar la resolución_x000a_19/05/2025 pendiente de que Altim pueda enseñar a MP donde estan identificados los errores_x000a_22/05/2025 No se puede seguir el flujo porque no hay conexion con SGA/Se para por priorizar decoluciones de Portugal"/>
    <s v="S4/hana"/>
    <s v="LCC"/>
    <x v="1"/>
    <m/>
    <m/>
    <m/>
    <m/>
    <s v="PT"/>
    <m/>
    <m/>
    <s v="No"/>
    <s v="Proceso"/>
    <n v="1"/>
    <s v="N/A"/>
    <n v="17"/>
    <s v="Se para por priorizar decoluciones de Portugal"/>
    <m/>
    <s v="Para por priorizar Devoluciones"/>
    <d v="1899-12-30T00:00:00"/>
    <s v="Proced. MP"/>
    <s v="MP"/>
  </r>
  <r>
    <s v="MP-0055"/>
    <d v="2025-05-05T00:00:00"/>
    <m/>
    <s v="Liu Yalu"/>
    <s v="Incidencia"/>
    <s v="Incidencia"/>
    <x v="1"/>
    <x v="4"/>
    <s v="Problemas con la Manipulación INTERNA de productos (PRODUCCIÓN)"/>
    <m/>
    <m/>
    <s v="Alta"/>
    <s v="Manipulación , comentario de la línea anterior._x000a_Compra de MMPP_x000a_Se envia para Fabricación_x000a_El proveedor devuelve un PP terminado._x000a_No se puede realizar la recepción en el Almacen._x000a_Con Yan Lu_x000a_19/05/2025 Todavia no se ha priorizado/ Problemas con SGA. Flujo estándar simulando SGA funciona"/>
    <s v="S4/hana"/>
    <s v="LCC"/>
    <x v="0"/>
    <d v="2025-07-15T00:00:00"/>
    <d v="2025-07-22T00:00:00"/>
    <d v="2025-07-22T00:00:00"/>
    <m/>
    <s v="ES"/>
    <d v="2025-06-17T00:00:00"/>
    <m/>
    <s v="No"/>
    <s v="Proceso"/>
    <n v="2"/>
    <s v="N/A"/>
    <n v="31.5"/>
    <m/>
    <m/>
    <m/>
    <e v="#N/A"/>
    <s v="Proced. MP"/>
    <s v="Altim"/>
  </r>
  <r>
    <s v="MP-00551"/>
    <d v="2025-05-14T00:00:00"/>
    <m/>
    <s v="Liu Yalu"/>
    <m/>
    <s v="Incidencia"/>
    <x v="1"/>
    <x v="4"/>
    <s v="Manipulación  (Carrefour) (Pendiente por despachar)"/>
    <m/>
    <m/>
    <s v="Media"/>
    <s v="21/05/2025 Corregido en SAP y enseñar a los usuarios al proceso, crear DM, OC, Pedidos_x000a_26/05/2025 Se recuerda al usuario que /Se cierra"/>
    <s v="S4/hana"/>
    <s v="LCC"/>
    <x v="0"/>
    <d v="2025-06-22T00:00:00"/>
    <d v="2025-06-29T00:00:00"/>
    <d v="2025-06-29T00:00:00"/>
    <m/>
    <s v="ES"/>
    <d v="2025-06-22T00:00:00"/>
    <m/>
    <m/>
    <m/>
    <m/>
    <s v="N/A"/>
    <n v="4.5"/>
    <s v="Se cierra"/>
    <m/>
    <s v="Entregada"/>
    <d v="1899-12-30T00:00:00"/>
    <s v="Proced. MP"/>
    <s v="Altim"/>
  </r>
  <r>
    <s v="MP-0056"/>
    <d v="2025-05-05T00:00:00"/>
    <m/>
    <s v="Liu Yalu"/>
    <s v="Incidencia"/>
    <s v="Incidencia"/>
    <x v="1"/>
    <x v="4"/>
    <s v="Problema entre Excel y SAP. Hay pedidos de 600 líneas y no consiguen pegar todos."/>
    <m/>
    <m/>
    <s v="Baja"/>
    <s v="/"/>
    <s v="S4/hana"/>
    <s v="LCC"/>
    <x v="6"/>
    <m/>
    <m/>
    <m/>
    <m/>
    <s v="ES"/>
    <m/>
    <m/>
    <s v="No"/>
    <s v="Proceso"/>
    <m/>
    <s v="N/A"/>
    <n v="0"/>
    <m/>
    <m/>
    <m/>
    <e v="#N/A"/>
    <s v="Proced. MP"/>
    <s v="MP"/>
  </r>
  <r>
    <s v="MP-0057"/>
    <d v="2025-05-05T00:00:00"/>
    <m/>
    <s v="Liu Yalu"/>
    <s v="Incidencia"/>
    <s v="Incidencia"/>
    <x v="1"/>
    <x v="4"/>
    <s v="Quieren que, con NINGBO, mande lo manual cuando pegan en el pedido desde el Excel; con otros proveedores, que se mantenga el Registro Info"/>
    <m/>
    <m/>
    <s v="Baja"/>
    <s v="/"/>
    <s v="S4/hana"/>
    <s v="LCC"/>
    <x v="6"/>
    <m/>
    <m/>
    <m/>
    <m/>
    <s v="ES"/>
    <m/>
    <m/>
    <s v="No"/>
    <s v="Proceso"/>
    <m/>
    <s v="N/A"/>
    <n v="0"/>
    <m/>
    <m/>
    <m/>
    <e v="#N/A"/>
    <s v="Proced. MP"/>
    <s v="MP"/>
  </r>
  <r>
    <s v="MP-0058"/>
    <d v="2025-05-05T00:00:00"/>
    <m/>
    <s v="Liu Yalu"/>
    <s v="Incidencia"/>
    <s v="Incidencia"/>
    <x v="1"/>
    <x v="4"/>
    <s v="Lentitud del funcionamiento del sistema: a la hora de bajar el scroll para revisar una posición del pedido"/>
    <m/>
    <m/>
    <s v="Baja"/>
    <s v="/"/>
    <s v="S4/hana"/>
    <s v="LCC"/>
    <x v="3"/>
    <m/>
    <m/>
    <m/>
    <m/>
    <s v="ES"/>
    <m/>
    <m/>
    <s v="No"/>
    <s v="Proceso"/>
    <m/>
    <s v="N/A"/>
    <n v="0"/>
    <m/>
    <m/>
    <m/>
    <e v="#N/A"/>
    <s v="Integraciones"/>
    <s v="MP"/>
  </r>
  <r>
    <s v="MP-0059"/>
    <d v="2025-05-05T00:00:00"/>
    <m/>
    <s v="Liu Yalu"/>
    <s v="Incidencia"/>
    <s v="Incidencia"/>
    <x v="1"/>
    <x v="4"/>
    <s v="Ver la cantidad pendiente a la hora de hacer el pedido de compra, cuando vienen de un contrato, en la ME21N. Si el contrato está agotado, que no aparezca"/>
    <m/>
    <m/>
    <s v="Baja"/>
    <s v="/"/>
    <s v="S4/hana"/>
    <s v="LCC"/>
    <x v="6"/>
    <m/>
    <m/>
    <m/>
    <m/>
    <s v="ES"/>
    <m/>
    <m/>
    <s v="No"/>
    <s v="Proceso"/>
    <m/>
    <s v="N/A"/>
    <n v="0"/>
    <m/>
    <m/>
    <m/>
    <e v="#N/A"/>
    <m/>
    <s v="MP"/>
  </r>
  <r>
    <s v="MP-0060"/>
    <d v="2025-05-05T00:00:00"/>
    <m/>
    <s v="Liu Yalu"/>
    <s v="Incidencia"/>
    <s v="Incidencia"/>
    <x v="1"/>
    <x v="4"/>
    <s v="Problema con las Listas de materiales y SGA"/>
    <m/>
    <m/>
    <s v="Baja"/>
    <s v="/"/>
    <s v="S4/hana"/>
    <s v="LCC"/>
    <x v="6"/>
    <m/>
    <m/>
    <m/>
    <m/>
    <s v="ES"/>
    <m/>
    <m/>
    <s v="No"/>
    <s v="Proceso"/>
    <m/>
    <s v="N/A"/>
    <n v="0"/>
    <m/>
    <m/>
    <m/>
    <e v="#N/A"/>
    <s v="Proced. MP"/>
    <s v="MP"/>
  </r>
  <r>
    <s v="MP-0061"/>
    <d v="2025-05-14T00:00:00"/>
    <m/>
    <s v="Lu WANG"/>
    <m/>
    <s v="Incidencia"/>
    <x v="3"/>
    <x v="4"/>
    <s v="Facturas emitidas con producto sin centro de beneficio asignado"/>
    <m/>
    <m/>
    <s v="Alta"/>
    <s v="14/05/2025 se recibe 3 facturas que no se pueden contabilizar por cebe inexistente_x000a_20/05/2025 Revisada , hay ue anular llegar al pedido y volver hacer todo./Cerrada_x000a_29/05/2025 Contactar con Isabel_x000a_04/06/2025 Se contacta con MP_x000a_16/06/2025 Se prepara un workshop para hacerlo con la usuaria"/>
    <s v="S4/hana"/>
    <s v="AHY"/>
    <x v="0"/>
    <d v="2025-09-30T00:00:00"/>
    <d v="2025-06-18T00:00:00"/>
    <d v="2025-06-18T00:00:00"/>
    <m/>
    <s v="ES"/>
    <d v="2025-06-19T00:00:00"/>
    <s v="Sin retraso"/>
    <m/>
    <m/>
    <m/>
    <s v="N/A"/>
    <n v="13.5"/>
    <s v="Cerrada"/>
    <m/>
    <s v="Incidencia scerrada y medida preventiva en proceso"/>
    <d v="1899-12-30T00:00:00"/>
    <s v="Proced. MP"/>
    <s v="Altim"/>
  </r>
  <r>
    <s v="MP-00611"/>
    <d v="2025-05-21T00:00:00"/>
    <m/>
    <s v="Lu WANG"/>
    <m/>
    <s v="Evolutivo"/>
    <x v="1"/>
    <x v="4"/>
    <s v="Facturas emitidas con producto sin centro de beneficio asignado/ Aplcar a los DM que se ponga obligatorio el CEBE. Extracción de los materiales."/>
    <m/>
    <m/>
    <s v="Media"/>
    <s v="21/05/2025 Se abre como medida preventiva para que no pase mas._x000a_22/05/2025 Pendiente de verificación si es posible en Cloud._x000a_                       Extraccion de listado de materiales  y su CeBe_x000a_26/05/2025 En el centro de españa todos los materiales estan informados con su cebe/Entregado pendiente de confirmación para cierre_x000a_29/05/2025 Abrir linea con posibilidades "/>
    <s v="S4/hana"/>
    <s v="M.A"/>
    <x v="0"/>
    <d v="2025-06-19T00:00:00"/>
    <d v="2025-10-07T00:00:00"/>
    <d v="2025-10-07T00:00:00"/>
    <m/>
    <s v="ES"/>
    <d v="2025-07-03T00:00:00"/>
    <m/>
    <m/>
    <s v="N/A"/>
    <m/>
    <s v="N/A"/>
    <n v="1"/>
    <s v="Entregado pendiente de confirmación para cierre"/>
    <m/>
    <s v="Se extraen Materiales , pendiente de recibir CeBe de los faltantes"/>
    <s v="Definir los cebes de los materiales"/>
    <s v="Proced. MP"/>
    <s v="Altim"/>
  </r>
  <r>
    <s v="MP-0062"/>
    <d v="2025-05-05T00:00:00"/>
    <m/>
    <s v="Liu Yalu"/>
    <s v="Incidencia"/>
    <s v="Incidencia"/>
    <x v="1"/>
    <x v="4"/>
    <s v="Creación y asignación automática en SAP del código de Barras. Ahora lo hacen con un excel. Ej PE489 Unidades de medida"/>
    <m/>
    <m/>
    <s v="Baja"/>
    <s v="/"/>
    <s v="S4/hana"/>
    <s v="LCC"/>
    <x v="6"/>
    <m/>
    <m/>
    <m/>
    <m/>
    <s v="ES"/>
    <m/>
    <m/>
    <s v="No"/>
    <s v="Proceso"/>
    <m/>
    <s v="N/A"/>
    <n v="0"/>
    <m/>
    <m/>
    <m/>
    <e v="#N/A"/>
    <s v="Proced. MP"/>
    <s v="MP"/>
  </r>
  <r>
    <s v="MP-0063"/>
    <d v="2025-05-05T00:00:00"/>
    <m/>
    <s v="Liu Yalu"/>
    <s v="Incidencia"/>
    <s v="Incidencia"/>
    <x v="3"/>
    <x v="4"/>
    <s v="Revisión de las condiciones de precio de venta;  Tarifas"/>
    <m/>
    <m/>
    <s v="Baja"/>
    <s v="/"/>
    <s v="S4/hana"/>
    <s v="RMB"/>
    <x v="6"/>
    <m/>
    <m/>
    <m/>
    <m/>
    <s v="ES"/>
    <m/>
    <m/>
    <s v="No"/>
    <s v="Proceso"/>
    <m/>
    <s v="N/A"/>
    <n v="0"/>
    <m/>
    <m/>
    <m/>
    <e v="#N/A"/>
    <s v="Proced. MP"/>
    <s v="MP"/>
  </r>
  <r>
    <s v="MP-0064"/>
    <d v="2025-05-05T00:00:00"/>
    <m/>
    <s v="Liu Yalu"/>
    <s v="Incidencia"/>
    <s v="Incidencia"/>
    <x v="1"/>
    <x v="4"/>
    <s v="Problema con los Expositores:  en SAP Lista de material y quieren ver el stock de la lista de material y el precio por ejemplo 75074NDSC"/>
    <m/>
    <m/>
    <s v="Baja"/>
    <s v="/"/>
    <s v="S4/hana"/>
    <s v="LCC"/>
    <x v="6"/>
    <m/>
    <m/>
    <m/>
    <m/>
    <s v="ES"/>
    <m/>
    <m/>
    <s v="No"/>
    <s v="Proceso"/>
    <m/>
    <s v="N/A"/>
    <n v="0"/>
    <m/>
    <m/>
    <m/>
    <e v="#N/A"/>
    <s v="Proced. MP"/>
    <s v="MP"/>
  </r>
  <r>
    <s v="MP-0065"/>
    <d v="2025-05-05T00:00:00"/>
    <m/>
    <s v="Liu Yalu"/>
    <s v="Incidencia"/>
    <s v="Incidencia"/>
    <x v="1"/>
    <x v="4"/>
    <s v="Todo tipo de certificados, MSDS, formularios de información del producto se puede poner en la lista de productos correspondientes para facilitar la extracción"/>
    <m/>
    <m/>
    <s v="Baja"/>
    <s v="/"/>
    <s v="S4/hana"/>
    <s v="LCC"/>
    <x v="6"/>
    <m/>
    <m/>
    <m/>
    <m/>
    <s v="ES"/>
    <m/>
    <m/>
    <s v="No"/>
    <s v="Proceso"/>
    <m/>
    <s v="N/A"/>
    <n v="0"/>
    <m/>
    <m/>
    <m/>
    <e v="#N/A"/>
    <s v="Proced. MP"/>
    <s v="MP"/>
  </r>
  <r>
    <s v="MP-0066"/>
    <d v="2025-05-05T00:00:00"/>
    <m/>
    <s v="Liu Yalu"/>
    <s v="Incidencia"/>
    <s v="Incidencia"/>
    <x v="1"/>
    <x v="4"/>
    <s v="Formulario de pedido: que la Nota interna que está en la pestaña del Dato maestro del material, se muestre en el idioma del proveedor. Mostrar los códigos Ean en el formulario.( Ahora estan en nota Interna)"/>
    <m/>
    <m/>
    <s v="Baja"/>
    <s v="EL EAN sale en los formularios tratados"/>
    <s v="S4/hana"/>
    <s v="LCC"/>
    <x v="0"/>
    <d v="2025-07-03T00:00:00"/>
    <d v="2025-07-10T00:00:00"/>
    <d v="2025-07-10T00:00:00"/>
    <m/>
    <s v="ES"/>
    <d v="2025-07-03T00:00:00"/>
    <m/>
    <s v="No"/>
    <s v="Proceso"/>
    <m/>
    <s v="N/A"/>
    <n v="0"/>
    <m/>
    <m/>
    <m/>
    <e v="#N/A"/>
    <s v="Proced. MP"/>
    <s v="Altim"/>
  </r>
  <r>
    <s v="MP-0067"/>
    <d v="2025-05-05T00:00:00"/>
    <m/>
    <s v="Liu Yalu"/>
    <s v="Incidencia"/>
    <s v="Incidencia"/>
    <x v="1"/>
    <x v="4"/>
    <s v="Configuración almacén E04"/>
    <m/>
    <m/>
    <s v="Baja"/>
    <s v="/"/>
    <s v="S4/hana"/>
    <s v="LCC"/>
    <x v="6"/>
    <m/>
    <m/>
    <m/>
    <m/>
    <s v="ES"/>
    <m/>
    <m/>
    <s v="No"/>
    <s v="Proceso"/>
    <m/>
    <s v="N/A"/>
    <n v="0"/>
    <m/>
    <m/>
    <m/>
    <e v="#N/A"/>
    <s v="Proced. MP"/>
    <s v="MP"/>
  </r>
  <r>
    <s v="MP-0068"/>
    <d v="2025-05-05T00:00:00"/>
    <m/>
    <s v="Liu Yalu"/>
    <s v="Incidencia"/>
    <s v="Incidencia"/>
    <x v="1"/>
    <x v="4"/>
    <s v="Revisión fechas condiciones precio"/>
    <m/>
    <m/>
    <s v="Baja"/>
    <s v="/"/>
    <s v="S4/hana"/>
    <s v="LCC"/>
    <x v="6"/>
    <m/>
    <m/>
    <m/>
    <m/>
    <s v="ES"/>
    <m/>
    <m/>
    <s v="No"/>
    <s v="Proceso"/>
    <m/>
    <s v="N/A"/>
    <n v="0"/>
    <m/>
    <m/>
    <m/>
    <e v="#N/A"/>
    <s v="Proced. MP"/>
    <s v="MP"/>
  </r>
  <r>
    <s v="MP-0069"/>
    <d v="2025-05-05T00:00:00"/>
    <m/>
    <s v="Liu Yalu"/>
    <s v="Incidencia"/>
    <s v="Incidencia"/>
    <x v="1"/>
    <x v="4"/>
    <s v="Ranking de productos vendidos. Para el ranking hay una lógica que ellos tienen y nos tendría que contar"/>
    <m/>
    <m/>
    <s v="Baja"/>
    <s v="/"/>
    <s v="S4/hana"/>
    <s v="LCC"/>
    <x v="6"/>
    <m/>
    <m/>
    <m/>
    <m/>
    <s v="ES"/>
    <m/>
    <m/>
    <s v="No"/>
    <s v="Proceso"/>
    <m/>
    <s v="N/A"/>
    <n v="0"/>
    <m/>
    <m/>
    <m/>
    <e v="#N/A"/>
    <s v="Proced. MP"/>
    <s v="MP"/>
  </r>
  <r>
    <s v="MP-0070"/>
    <d v="2025-05-05T00:00:00"/>
    <m/>
    <s v="Liu Yalu"/>
    <s v="Incidencia"/>
    <s v="Incidencia"/>
    <x v="1"/>
    <x v="4"/>
    <s v="Cambio en la clasificación de un producto. Falta de manejo del sistema"/>
    <m/>
    <m/>
    <s v="Baja"/>
    <s v="/"/>
    <s v="S4/hana"/>
    <s v="LCC"/>
    <x v="6"/>
    <m/>
    <m/>
    <m/>
    <m/>
    <s v="ES"/>
    <m/>
    <m/>
    <s v="No"/>
    <s v="Proceso"/>
    <m/>
    <s v="N/A"/>
    <n v="0"/>
    <m/>
    <m/>
    <m/>
    <e v="#N/A"/>
    <s v="Proced. MP"/>
    <s v="MP"/>
  </r>
  <r>
    <s v="MP-0071"/>
    <d v="2025-05-05T00:00:00"/>
    <m/>
    <s v="Liu Yalu"/>
    <s v="Incidencia"/>
    <s v="Incidencia"/>
    <x v="1"/>
    <x v="4"/>
    <s v="Rangos en pedidos de compra"/>
    <m/>
    <m/>
    <s v="Baja"/>
    <s v="26/05/2026 falta confirmar requerimientos/"/>
    <s v="S4/hana"/>
    <s v="LCC"/>
    <x v="6"/>
    <m/>
    <m/>
    <m/>
    <m/>
    <s v="ES"/>
    <m/>
    <m/>
    <s v="No"/>
    <s v="Proceso"/>
    <m/>
    <s v="N/A"/>
    <n v="2.5"/>
    <m/>
    <m/>
    <m/>
    <e v="#N/A"/>
    <s v="Proced. MP"/>
    <s v="MP"/>
  </r>
  <r>
    <s v="MP-0072"/>
    <d v="2025-05-05T00:00:00"/>
    <m/>
    <s v="Liu Yalu"/>
    <s v="Incidencia"/>
    <s v="Incidencia"/>
    <x v="1"/>
    <x v="4"/>
    <s v="Problemas con Subcontratación - Resto"/>
    <m/>
    <m/>
    <s v="Baja"/>
    <s v="/"/>
    <s v="S4/hana"/>
    <s v="LCC"/>
    <x v="6"/>
    <m/>
    <m/>
    <m/>
    <m/>
    <s v="ES"/>
    <m/>
    <m/>
    <s v="No"/>
    <s v="Proceso"/>
    <m/>
    <s v="N/A"/>
    <n v="0"/>
    <m/>
    <m/>
    <m/>
    <e v="#N/A"/>
    <s v="Proced. MP"/>
    <s v="MP"/>
  </r>
  <r>
    <s v="MP-0073"/>
    <d v="2025-05-07T00:00:00"/>
    <s v="Ana"/>
    <s v="Susana, Ana"/>
    <s v="Consulta"/>
    <s v="Consulta"/>
    <x v="0"/>
    <x v="4"/>
    <s v="Indicador soportado. 3x"/>
    <m/>
    <m/>
    <s v="Alta"/>
    <s v="11/06/2025 Indicador soportado. 3x hay facturas con este indicador que no sube al SII"/>
    <s v="S4/hana"/>
    <s v="AHY"/>
    <x v="0"/>
    <d v="2025-06-30T00:00:00"/>
    <d v="2025-07-07T00:00:00"/>
    <d v="2025-07-07T00:00:00"/>
    <m/>
    <s v="ES"/>
    <d v="2025-06-30T00:00:00"/>
    <s v="Sin retraso"/>
    <m/>
    <s v="Usuario"/>
    <m/>
    <s v="N/A"/>
    <n v="9.5"/>
    <s v="Se para por priorizar decoluciones de Portugal"/>
    <m/>
    <m/>
    <e v="#N/A"/>
    <m/>
    <s v="Altim"/>
  </r>
  <r>
    <s v="MP-0074"/>
    <d v="2025-05-07T00:00:00"/>
    <s v="Susana"/>
    <s v="Isabel"/>
    <s v="Incidencia"/>
    <s v="Incidencia"/>
    <x v="3"/>
    <x v="4"/>
    <s v="INCIDENCIA en las facturas de Ventas no suben al SII, ERROR 1219"/>
    <m/>
    <m/>
    <s v="Alta"/>
    <s v="08/05/2025 La solución hacer factura rectificativa, anular alabaran y modificar pedido. _x000a_El origen es el DM incorrrecto y ya se ha solucionado_x000a_12/05/2025 Error al contabilizar una factura, se contabiliza con IVA incorrecto por error en el origen del dato maestro del material._x000a_Se corrige el material._x000a_El proceso a realizar para corregir la contabilidad es anular factura, salida y modificar el pedido para volver a realizar la salida de mercancías correcta y la factura del pedido._x000a_/Solucionada"/>
    <s v="S4/hana"/>
    <s v="AHY"/>
    <x v="0"/>
    <d v="2025-05-12T00:00:00"/>
    <d v="2025-05-19T00:00:00"/>
    <d v="2025-05-19T00:00:00"/>
    <m/>
    <s v="ES"/>
    <d v="2025-05-19T00:00:00"/>
    <s v="Sin retraso"/>
    <m/>
    <s v="Usuario"/>
    <m/>
    <s v="N/A"/>
    <n v="5"/>
    <s v="Solucionada"/>
    <m/>
    <s v="Se analiza la incidencia y se soluciona"/>
    <d v="1899-12-30T00:00:00"/>
    <m/>
    <s v="Altim"/>
  </r>
  <r>
    <s v="MP-0075"/>
    <d v="2025-05-08T00:00:00"/>
    <s v="Susana, Ana"/>
    <s v="Isabel"/>
    <s v="Incidencia"/>
    <s v="Evolutivo"/>
    <x v="0"/>
    <x v="4"/>
    <s v="COMPENSAR LAS CUENTAS 52010Configuración de cuenta contable"/>
    <s v=" 非进口类采购发票记账错误"/>
    <s v="Revisión de cuenta contable para compra no importación"/>
    <s v="Alta"/>
    <s v="08/05/2025 Confirmar con MP. _x000a_26/05/2025 Hay varias incidencias en las que tenemos que configurar cuenta de mayor y balance, si cuando se realizce no hay nada mas, se cierra y si no se gestione por esta incidencia./_x000a_29/05/2025 Se define como duplicada_x000a_10/06/2025 Se informa al usuario que esta parado por MP"/>
    <s v="S4/hana"/>
    <s v="M.A"/>
    <x v="1"/>
    <m/>
    <m/>
    <m/>
    <m/>
    <s v="ES"/>
    <m/>
    <m/>
    <s v="No"/>
    <s v="Proceso"/>
    <m/>
    <s v="N/A"/>
    <n v="4"/>
    <m/>
    <m/>
    <m/>
    <e v="#N/A"/>
    <s v="Proced. MP"/>
    <s v="MP"/>
  </r>
  <r>
    <s v="MP-0076"/>
    <d v="2025-05-08T00:00:00"/>
    <s v="Susana, Ana"/>
    <s v="Susana"/>
    <s v="Incidencia"/>
    <s v="Petición"/>
    <x v="3"/>
    <x v="4"/>
    <s v="PONER EL INDICADOR DE IVA EN LA FICHA DEL CLIENTE."/>
    <s v=" 外协加工发票，在模拟会计分录时，系统将差额记入‘进口关税费用’科目，而实际上这是一个国内供应商。或海运费的科目。"/>
    <s v="Facturas de manipulación al simular el asiento resulta que el sistema pretende diferencias a la cuenta de gasto de aranceles de importación cuando se trata de un proveedor nacional. O a la cuenta de gasto de flete importación. "/>
    <s v="Alta"/>
    <s v="PONER EL INDICADOR DE IVA EN LA FICHA DEL CLIENTE."/>
    <s v="S4/hana"/>
    <s v="AHY"/>
    <x v="0"/>
    <d v="2025-06-30T00:00:00"/>
    <d v="2025-07-02T00:00:00"/>
    <d v="2025-07-02T00:00:00"/>
    <m/>
    <s v="ES"/>
    <d v="2025-06-26T00:00:00"/>
    <m/>
    <s v="No"/>
    <s v="Proceso"/>
    <m/>
    <s v="N/A"/>
    <n v="5"/>
    <m/>
    <m/>
    <m/>
    <e v="#N/A"/>
    <s v="Proced. MP"/>
    <s v="Altim"/>
  </r>
  <r>
    <s v="MP-0077"/>
    <d v="2025-05-08T00:00:00"/>
    <s v="Susana, Ana"/>
    <s v="Isabel"/>
    <m/>
    <s v="Evolutivo"/>
    <x v="3"/>
    <x v="6"/>
    <s v="Realizar validación para que no te deje contabilizar la factura en otro momento , la factura se tiene que contabilizar en ese momento."/>
    <m/>
    <m/>
    <s v="Alta"/>
    <s v="08/05/2025 Hay que crear una sustitución  financiera donde la fecha de contabilización de una factura de venta se sustituya por hoy._x000a_Se solucionaria muchos errores._x000a_Si se deja vacio que te sustituya /_x000a_29/05/2025 Revisar la sustitucion en la app_x000a_03/06/2025 Se realiza una validación, se cambia fecha de entrega por priorizacion de otras incidencias_x000a_04/06/2025 se clasifica a O2C porque es una sustitución de facturas de ventas_x000a_05/06/025 Verificación Interna_x000a_11/06/025 Se verifica internamente si se puede hacer desde la factura"/>
    <s v="S4/hana"/>
    <s v="RMB"/>
    <x v="9"/>
    <m/>
    <m/>
    <m/>
    <m/>
    <s v="ES"/>
    <m/>
    <m/>
    <m/>
    <m/>
    <m/>
    <s v="Bajo"/>
    <n v="4"/>
    <m/>
    <m/>
    <m/>
    <e v="#N/A"/>
    <s v="Proced. MP"/>
    <s v="Altim"/>
  </r>
  <r>
    <s v="MP-0078"/>
    <d v="2025-05-08T00:00:00"/>
    <m/>
    <s v="Isabel"/>
    <m/>
    <s v="Petición"/>
    <x v="1"/>
    <x v="3"/>
    <s v="Se detectan que no hay saldo en la cuenta compras internacionales_x000a_"/>
    <m/>
    <m/>
    <s v="Alta"/>
    <s v="02/06/2025 No hay saldo en las cuentas de compras internacionales/Se identifica que es una cuenta que no tiene asignado ninguna categoria de valorcion en ningun material por lo tanto no se hacen pei_x000a_08/06/2025 Se decide cambiar en OBIK la 3100 para que apunte a 60000003. Sería necesario cambiar TODAS las categorías de Valoración de las MMPP._x000a_18/06/2025 - Está mal en el maestro de materiales la CAT de Valoración. Todo apunta a la 60000001"/>
    <s v="S4/hana"/>
    <s v="LCC"/>
    <x v="0"/>
    <d v="2026-06-18T00:00:00"/>
    <d v="2025-06-18T00:00:00"/>
    <d v="2026-06-25T00:00:00"/>
    <m/>
    <s v="ES"/>
    <d v="2025-06-17T00:00:00"/>
    <m/>
    <m/>
    <m/>
    <m/>
    <s v="Medio"/>
    <n v="1"/>
    <m/>
    <m/>
    <m/>
    <e v="#N/A"/>
    <s v="Proced. MP"/>
    <s v="Altim"/>
  </r>
  <r>
    <s v="MP-0079"/>
    <d v="2025-05-12T00:00:00"/>
    <m/>
    <s v="Susana"/>
    <m/>
    <s v="Evolutivo"/>
    <x v="0"/>
    <x v="4"/>
    <s v="INCIDENCIA EN LAS CUIENTAS DE MAYOR 4109000001/4109000002 Y 4109000003"/>
    <m/>
    <m/>
    <s v="Alta"/>
    <s v="16/05/2025 Se transporta el Martes 20 a producción/Subidos los cambios el martes pasado, cerrada"/>
    <s v="S4/hana"/>
    <s v="AHY"/>
    <x v="0"/>
    <d v="2025-05-13T00:00:00"/>
    <d v="2025-05-20T00:00:00"/>
    <d v="2025-07-19T00:00:00"/>
    <s v="Se cierra según lo previsto"/>
    <s v="ES"/>
    <d v="2025-05-20T00:00:00"/>
    <s v="Sin retraso"/>
    <m/>
    <m/>
    <m/>
    <s v="Bajo"/>
    <n v="0"/>
    <s v="Subidos los cambios el martes pasado, cerrada"/>
    <m/>
    <s v="Subida las correcciones a producción"/>
    <d v="1899-12-30T00:00:00"/>
    <s v="Configuración y desarrollos. "/>
    <s v="Altim"/>
  </r>
  <r>
    <s v="MP-0080"/>
    <d v="2025-05-14T00:00:00"/>
    <m/>
    <s v="Isabel"/>
    <m/>
    <s v="Consulta"/>
    <x v="1"/>
    <x v="4"/>
    <s v="Variación de existencias"/>
    <m/>
    <m/>
    <s v="Media"/>
    <s v="14/05/2025 Cuando hay una venta o salida por cualquier motivo de productos de almacén._x000a_Se produce una variación de existencias._x000a_610.   a.     300_x000a_Eso lo vimos y suponemos que lo hace siempre._x000a_Pero no comprobamos la valoración._x000a_El importe de este asiento.  Coge bien el precio de coste de cada producto?_x000a_La baja la hace por el precio medio ponderado de cada producto en el momento de la salida?_x000a_/En proceso"/>
    <s v="S4/hana"/>
    <s v="LCC"/>
    <x v="6"/>
    <m/>
    <m/>
    <m/>
    <m/>
    <s v="ES"/>
    <m/>
    <m/>
    <m/>
    <m/>
    <m/>
    <s v="N/A"/>
    <n v="3.5"/>
    <s v="En proceso"/>
    <m/>
    <m/>
    <e v="#N/A"/>
    <s v="Configuración y desarrollos. "/>
    <s v="MP"/>
  </r>
  <r>
    <s v="MP-0081"/>
    <d v="2025-05-14T00:00:00"/>
    <m/>
    <s v="Susana"/>
    <m/>
    <s v="Incidencia"/>
    <x v="0"/>
    <x v="4"/>
    <s v="INCIDENCIA EN EL LIBRO DE CAJA "/>
    <m/>
    <m/>
    <s v="Media"/>
    <s v="14/05/2025 Se recibe la información y el requerimiento documentado para gestionar la incidencia_x000a_22/05/2025 Se detecta que esta la confiuaración en test y se espera la prueba del usuario/Subiran los cambios al mediodia y se entrega._x000a_"/>
    <s v="S4/hana"/>
    <s v="AHY"/>
    <x v="0"/>
    <d v="2025-06-02T00:00:00"/>
    <d v="2025-06-09T00:00:00"/>
    <d v="2025-06-09T00:00:00"/>
    <m/>
    <s v="ES"/>
    <d v="2025-06-02T00:00:00"/>
    <s v="Sin retraso"/>
    <m/>
    <m/>
    <m/>
    <s v="N/A"/>
    <n v="3"/>
    <s v="Subiran los cambios al mediodia y se entrega."/>
    <m/>
    <s v="Subida las correcciones a producción"/>
    <d v="1899-12-30T00:00:00"/>
    <s v="Proced. MP"/>
    <s v="Altim"/>
  </r>
  <r>
    <s v="MP-0082"/>
    <d v="2025-05-14T00:00:00"/>
    <m/>
    <s v="Lu WANG"/>
    <m/>
    <s v="Incidencia"/>
    <x v="1"/>
    <x v="4"/>
    <s v="Error producto ERLA Intercompany"/>
    <m/>
    <m/>
    <s v="Media"/>
    <s v="14/05/2025 Recibimos manual de proceso de ERLA/"/>
    <s v="S4/hana"/>
    <s v="LCC"/>
    <x v="8"/>
    <m/>
    <m/>
    <m/>
    <m/>
    <s v="ES"/>
    <m/>
    <m/>
    <m/>
    <m/>
    <m/>
    <s v="N/A"/>
    <n v="2"/>
    <m/>
    <m/>
    <m/>
    <e v="#N/A"/>
    <s v="Proced. MP"/>
    <s v="MP"/>
  </r>
  <r>
    <s v="MP-0083"/>
    <d v="2025-05-14T00:00:00"/>
    <m/>
    <s v="Liu Yalu"/>
    <m/>
    <s v="Evolutivo"/>
    <x v="2"/>
    <x v="4"/>
    <s v="Código ATCUD 2025, MP Portugal._x000a_Séries Comunicadas 2025"/>
    <m/>
    <m/>
    <s v="Media"/>
    <s v="14/05/2025 Se reciben los criterios establecidoas para generar el QR._x000a_27/05/2025 Se recibe de nuevo los requerimiento/_x000a_10/06/2025 Revisando internamente_x000a_17/6/2025 - Configurado en TEST_x000a_19/06/2025 - pendiente de hablar con IT Portugal"/>
    <s v="S4/hana"/>
    <s v="LCC"/>
    <x v="2"/>
    <d v="2025-07-23T00:00:00"/>
    <d v="2025-07-30T00:00:00"/>
    <d v="2025-07-30T00:00:00"/>
    <s v="Se recibe de nuevo requerimiento"/>
    <s v="PT"/>
    <m/>
    <m/>
    <m/>
    <m/>
    <m/>
    <s v="N/A"/>
    <n v="2"/>
    <m/>
    <m/>
    <m/>
    <e v="#N/A"/>
    <s v="Proced. MP"/>
    <s v="MP"/>
  </r>
  <r>
    <s v="MP-0084"/>
    <d v="2025-05-14T00:00:00"/>
    <m/>
    <s v="Susana, Ana"/>
    <m/>
    <s v="Evolutivo"/>
    <x v="0"/>
    <x v="4"/>
    <s v="Necesitamos que todas las cuentas se puedan contabilizar de forma manual."/>
    <m/>
    <m/>
    <s v="Media"/>
    <s v="16/05/2025 • Necesitamos que todas las cuentas se puedan contabilizar de forma manual._x000a_Esto no es recomendable pero entendemos que la solicitud viene para realizar ajustes del cierre y corregir las desviaciones contables Vamos a enviar un listado de todas las cuentas de mayor que se contabilicen par aque nos confirmeis las que son necesarias._x000a_19/05/2025 Se envia el fichero para contabilizaciones automáticas/_x000a_29/05/2025 se cambia fecha de entrega, 10 dias sin contestar._x000a_06/6/2025 Sin contestación se revia la posibilidad de cerrarla"/>
    <s v="S4/hana"/>
    <s v="M.A"/>
    <x v="2"/>
    <d v="2025-06-30T00:00:00"/>
    <d v="2025-07-01T00:00:00"/>
    <d v="2025-07-01T00:00:00"/>
    <m/>
    <s v="ES"/>
    <m/>
    <m/>
    <m/>
    <m/>
    <m/>
    <s v="N/A"/>
    <n v="3"/>
    <m/>
    <m/>
    <s v="Realizada correcciones pte de validación MP"/>
    <s v="Pte de validación"/>
    <s v="Proced. MP"/>
    <s v="MP"/>
  </r>
  <r>
    <s v="MP-0085"/>
    <d v="2025-05-14T00:00:00"/>
    <m/>
    <s v="Susana, Ana"/>
    <m/>
    <s v="Evolutivo"/>
    <x v="0"/>
    <x v="4"/>
    <s v="Que todas las cuentas del grupo 6 y grupo 7 se puedan contabilizar sin que tenga un indicador de impuesto Entonces por favor del grupo 7 solo habilitarme sin que tenga el indicador de impuesto  las cuentas 76- y de gastos quiero todas menos las 6000._x000a_Extraccion de información"/>
    <m/>
    <m/>
    <s v="Media"/>
    <s v="28/05/2025 Se procede a quitar el II de PYG_x000a_29/05/2025 Mandar al usaurio para que valide_x000a_29/05/2025 A la espera del ok , el lunes tiene que confirmar para el martes_x000a_03/06/2025 El usuaro confirma que todo ok"/>
    <s v="S4/hana"/>
    <s v="AHY"/>
    <x v="0"/>
    <d v="2025-05-30T00:00:00"/>
    <d v="2025-06-06T00:00:00"/>
    <d v="2025-06-06T00:00:00"/>
    <m/>
    <s v="ES"/>
    <d v="2025-05-30T00:00:00"/>
    <s v="Revision por parte de MP"/>
    <s v="No"/>
    <s v="Proceso"/>
    <m/>
    <s v="N/A"/>
    <n v="8"/>
    <m/>
    <s v="ZTBK901800   -  MP-0085_x000a_"/>
    <s v="Realizada"/>
    <d v="1899-12-30T00:00:00"/>
    <s v="Proced. MP"/>
    <s v="Altim"/>
  </r>
  <r>
    <s v="MP-00851"/>
    <d v="2025-05-14T00:00:00"/>
    <m/>
    <s v="Susana, Ana"/>
    <m/>
    <s v="Evolutivo"/>
    <x v="0"/>
    <x v="4"/>
    <s v="Que todas las cuentas del grupo 6 y grupo 7 se puedan contabilizar sin que tenga un indicador de impuesto Entonces por favor del grupo 7 solo habilitarme sin que tenga el indicador de impuesto  las cuentas 76- y de gastos quiero todas menos las 6000._x000a_Cambio en la configuración"/>
    <m/>
    <m/>
    <s v="Media"/>
    <s v="28/05/2025 Se valida por el usuario  el bloqueo _x000a_29/05/2025 Las dos estan realacionadas"/>
    <s v="S4/hana"/>
    <s v="AHY"/>
    <x v="0"/>
    <d v="2025-05-30T00:00:00"/>
    <d v="2025-06-06T00:00:00"/>
    <d v="2025-06-06T00:00:00"/>
    <m/>
    <s v="ES"/>
    <d v="2025-05-30T00:00:00"/>
    <s v="Sin retraso"/>
    <s v="No"/>
    <s v="Proceso"/>
    <m/>
    <s v="N/A"/>
    <n v="1"/>
    <m/>
    <s v="ZTBK901800   -  MP-0085"/>
    <s v="Realizada correcciones pte de validación MP"/>
    <s v="Pte de validación"/>
    <s v="Proced. MP"/>
    <s v="Altim"/>
  </r>
  <r>
    <s v="MP-0086"/>
    <d v="2025-05-14T00:00:00"/>
    <m/>
    <s v="Susana, Ana"/>
    <m/>
    <s v="Evolutivo"/>
    <x v="0"/>
    <x v="4"/>
    <s v="La cuenta Ebury esta creada como un proveedor y tiene diferentes divisas. Necesitamos crear cuentas de Banco.572 para la cuenta de euros y 573 para las cuentas de otras divisas. "/>
    <m/>
    <m/>
    <s v="Media"/>
    <s v="16/05/2025 se registra la peticion del 14/05/"/>
    <s v="S4/hana"/>
    <s v="LJS"/>
    <x v="7"/>
    <d v="2025-07-02T00:00:00"/>
    <d v="2025-07-09T00:00:00"/>
    <d v="2025-07-09T00:00:00"/>
    <m/>
    <s v="ES"/>
    <m/>
    <m/>
    <m/>
    <m/>
    <m/>
    <s v="N/A"/>
    <n v="11"/>
    <m/>
    <m/>
    <m/>
    <e v="#N/A"/>
    <s v="Proced. MP"/>
    <s v="MP"/>
  </r>
  <r>
    <s v="MP-0087"/>
    <d v="2025-05-14T00:00:00"/>
    <m/>
    <s v="Susana, Ana"/>
    <m/>
    <s v="Evolutivo"/>
    <x v="0"/>
    <x v="4"/>
    <s v="572054000 CAIXA PORTUGAL CUENTA CORRIENTE cuando bajamos la norma43 configurar el extracto"/>
    <m/>
    <m/>
    <s v="Media"/>
    <s v="16/05/2025 se registra la peticion del 14/05/_x000a_06/05/2025 Se prioriza por el usuaro_x000a_06/06/2025 se para al tratarse otros temas_x000a_11/06/2025 Revisar MA el email"/>
    <s v="S4/hana"/>
    <s v="AHY"/>
    <x v="2"/>
    <d v="2025-09-30T00:00:00"/>
    <d v="2025-10-07T00:00:00"/>
    <d v="2025-10-07T00:00:00"/>
    <m/>
    <s v="PT"/>
    <m/>
    <m/>
    <m/>
    <m/>
    <m/>
    <s v="N/A"/>
    <n v="3"/>
    <m/>
    <m/>
    <m/>
    <e v="#N/A"/>
    <s v="Proced. MP"/>
    <s v="MP"/>
  </r>
  <r>
    <s v="MP-0088"/>
    <d v="2025-05-14T00:00:00"/>
    <m/>
    <s v="Susana, Ana"/>
    <m/>
    <s v="Evolutivo"/>
    <x v="0"/>
    <x v="4"/>
    <s v="MP-0088 – metemos la cuenta 4009000001 del plan contable YCOA….me confirmas la posición donde tiene que estar? Y el balance es “MP” verdad?"/>
    <m/>
    <m/>
    <s v="Media"/>
    <s v="16/05/2025 se registra la peticion del 14/05/_x000a_29/05/2025 Revisar _x000a_03/06/2025 Se transporta y se revisa, se deja para validar"/>
    <s v="S4/hana"/>
    <s v="M.A"/>
    <x v="0"/>
    <d v="2025-06-03T00:00:00"/>
    <d v="2025-06-10T00:00:00"/>
    <d v="2025-06-10T00:00:00"/>
    <m/>
    <s v="ES"/>
    <d v="2025-06-03T00:00:00"/>
    <s v="Falta Recurso del Área"/>
    <m/>
    <m/>
    <m/>
    <s v="N/A"/>
    <n v="0"/>
    <m/>
    <s v="ZTBK901777"/>
    <m/>
    <e v="#N/A"/>
    <s v="Proced. MP"/>
    <s v="Altim"/>
  </r>
  <r>
    <s v="MP-0089"/>
    <d v="2025-05-14T00:00:00"/>
    <m/>
    <s v="Susana, Ana"/>
    <m/>
    <s v="Evolutivo"/>
    <x v="0"/>
    <x v="4"/>
    <s v="Queremos crear nuevas cuentas de visa o de gasto, etc…  y no podemos hacerlo ninguna de las contables. Por favor enseñárselo bien a los que tengan acceso para no tener problemas de este tipo. Poder contabilizar de forma manual, sin indicador y que estén asignadas"/>
    <m/>
    <m/>
    <s v="Media"/>
    <s v="16/05/2025 se registra la peticion del 14/05/Requerimientos confirmados en proceso._x000a_29/05/2025 Mandar email que no se puede hacer _x000a_06/06/2025 Esperando a que se confirme la necesidad"/>
    <s v="S4/hana"/>
    <s v="M.A"/>
    <x v="3"/>
    <m/>
    <m/>
    <m/>
    <m/>
    <s v="ES"/>
    <m/>
    <m/>
    <m/>
    <m/>
    <m/>
    <s v="N/A"/>
    <n v="0"/>
    <s v="Requerimientos confirmados en proceso"/>
    <m/>
    <s v="Pendiente de confirmar requerimientos"/>
    <s v="Pendiente confirmación"/>
    <s v="Proced. MP"/>
    <s v="MP"/>
  </r>
  <r>
    <s v="MP-0090"/>
    <d v="2025-05-14T00:00:00"/>
    <m/>
    <s v="Susana, Ana"/>
    <m/>
    <s v="Evolutivo"/>
    <x v="0"/>
    <x v="4"/>
    <s v="Por último, por favor cerrarme los periodos contables y enseñarnos porque transacción podemos abrir y cerrarlos porque nos podemos confundir y contabilizar facturas en fechas que no queremos"/>
    <m/>
    <m/>
    <s v="Media"/>
    <s v="16/05/2025 se registra la peticion del 14/05/_x000a_29/05/2025 Preguntar a Lu_x000a_06/06/2025 se cierra despues de haberse entregado hace una semana"/>
    <s v="S4/hana"/>
    <s v="M.A"/>
    <x v="0"/>
    <d v="2025-05-28T00:00:00"/>
    <d v="2025-06-04T00:00:00"/>
    <d v="2025-06-04T00:00:00"/>
    <m/>
    <s v="ES"/>
    <d v="2025-06-13T00:00:00"/>
    <s v="Sin retraso"/>
    <m/>
    <m/>
    <m/>
    <s v="N/A"/>
    <n v="0"/>
    <m/>
    <m/>
    <s v="Enviado a MP, pte de confirmar que esta hecho"/>
    <s v="Pte de validación"/>
    <s v="Proced. MP"/>
    <s v="Altim"/>
  </r>
  <r>
    <s v="MP-0091"/>
    <d v="2025-05-15T00:00:00"/>
    <m/>
    <s v="Susana, Ana"/>
    <m/>
    <s v="Evolutivo"/>
    <x v="3"/>
    <x v="4"/>
    <s v="Se pide verificar que clase de documento se genera por tipo de operación se abre la incidencia"/>
    <m/>
    <m/>
    <s v="Alta"/>
    <s v="16/05/2025 se registra la peticion del 14/05/"/>
    <s v="S4/hana"/>
    <s v="RMB"/>
    <x v="8"/>
    <m/>
    <m/>
    <m/>
    <m/>
    <s v="ES"/>
    <m/>
    <m/>
    <m/>
    <m/>
    <m/>
    <s v="N/A"/>
    <n v="0"/>
    <m/>
    <m/>
    <m/>
    <e v="#N/A"/>
    <s v="Proced. MP"/>
    <s v="MP"/>
  </r>
  <r>
    <s v="MP-0092"/>
    <d v="2025-05-19T00:00:00"/>
    <m/>
    <s v="Susana, Ana"/>
    <m/>
    <s v="Evolutivo"/>
    <x v="3"/>
    <x v="4"/>
    <s v="necesario implementar una validación donde la la fecha de contabilización sea igual o mayor a la fecha del pedido."/>
    <m/>
    <m/>
    <s v="Alta"/>
    <s v="19/05/2025 se registra la peticion del 14/05/Verificando solución_x000a_03/06/2025 Se trata intenamente aunque se para por la priorización de otras incidencias o procesos._x000a_11/06/2025 necesario crear la validación o viendo la viabilidad de realizar la validadcion desde ventas."/>
    <s v="S4/hana"/>
    <s v="RMB"/>
    <x v="4"/>
    <m/>
    <m/>
    <m/>
    <m/>
    <s v="ES"/>
    <m/>
    <m/>
    <m/>
    <m/>
    <m/>
    <s v="N/A"/>
    <n v="11.5"/>
    <s v="Verificando solución"/>
    <m/>
    <s v="Verificanco viabilidad"/>
    <s v="Verificanco viabilidad"/>
    <s v="Proced. MP"/>
    <s v="MP"/>
  </r>
  <r>
    <s v="MP-0093"/>
    <d v="2025-05-19T00:00:00"/>
    <m/>
    <s v="Susana, Ana"/>
    <m/>
    <s v="Evolutivo"/>
    <x v="3"/>
    <x v="4"/>
    <s v="necesario implementar una validación donde la la fecha de fatura sea igual a hoy"/>
    <m/>
    <m/>
    <s v="Media"/>
    <s v="19/05/2025 se registra la peticion del 14/05/_x000a_29/05/2025 Verificar si es igual que la anterior , necesario implementar una validación donde la la fecha de fatura sea igual a hoy"/>
    <s v="S4/hana"/>
    <s v="RMB"/>
    <x v="4"/>
    <m/>
    <m/>
    <m/>
    <m/>
    <s v="ES"/>
    <m/>
    <m/>
    <m/>
    <m/>
    <m/>
    <s v="N/A"/>
    <n v="8"/>
    <m/>
    <m/>
    <m/>
    <e v="#N/A"/>
    <s v="Proced. MP"/>
    <s v="MP"/>
  </r>
  <r>
    <s v="MP-0094"/>
    <d v="2025-05-19T00:00:00"/>
    <m/>
    <s v="Susana, Ana"/>
    <m/>
    <s v="Evolutivo"/>
    <x v="3"/>
    <x v="4"/>
    <s v="necesario implementar una validación donde la la fecha de contabilización sea igual o mayor a la fecha del pedido.Revisar procedimiento - Se recibe la factura y se crea el pedido, el pedido tienen que realizarse antes o el mismo dia de la factura."/>
    <m/>
    <m/>
    <s v="Media"/>
    <s v="19/05/2025 se registra la peticion del 14/05/_x000a_29/05/2025 Verificar si es igual que la anterior"/>
    <s v="S4/hana"/>
    <s v="RMB"/>
    <x v="9"/>
    <m/>
    <m/>
    <m/>
    <m/>
    <s v="ES"/>
    <m/>
    <m/>
    <m/>
    <m/>
    <m/>
    <s v="N/A"/>
    <n v="0"/>
    <m/>
    <m/>
    <m/>
    <e v="#N/A"/>
    <s v="Proced. MP"/>
    <s v="Altim"/>
  </r>
  <r>
    <s v="MP-0095"/>
    <d v="2025-05-19T00:00:00"/>
    <m/>
    <s v="Isabel"/>
    <m/>
    <s v="Consulta"/>
    <x v="3"/>
    <x v="4"/>
    <s v="Verificar cual es el valor de venta del producto, cual es el valor que coge si es el precio último de coste."/>
    <m/>
    <m/>
    <s v="Alta"/>
    <s v="19/05/2025 se abre la incidencia identificada el 13/05/2025/_x000a_29/05/2025 Verificar si esta duplicada_x000a_04/05/2025 Se verifica internamente"/>
    <s v="S4/hana"/>
    <s v="RMB"/>
    <x v="5"/>
    <d v="2025-09-30T00:00:00"/>
    <d v="2025-10-07T00:00:00"/>
    <d v="2025-10-07T00:00:00"/>
    <m/>
    <s v="ES"/>
    <m/>
    <m/>
    <m/>
    <m/>
    <m/>
    <s v="N/A"/>
    <n v="0"/>
    <m/>
    <m/>
    <s v="Realizado"/>
    <d v="1899-12-30T00:00:00"/>
    <s v="Proced. MP"/>
    <s v="Altim"/>
  </r>
  <r>
    <s v="MP-0096"/>
    <d v="2025-05-20T00:00:00"/>
    <m/>
    <s v="Isabel"/>
    <m/>
    <s v="Consulta"/>
    <x v="1"/>
    <x v="4"/>
    <s v="Necesidad de registrar una factura de enero Pedido del 02/01/2025_x000a__x000a_Entrada de mercancías el 11/03/2025, cuando la factura se debe registrar el 11/01/2025 y la entrada de mercancía no puede ser posterior a esta."/>
    <m/>
    <m/>
    <s v="Alta"/>
    <s v="20/05/2025 se abre/_x000a_29/05/2025 se aclaran_x000a_18/06/2025 - hacer manual para enseñar."/>
    <s v="S4/hana"/>
    <s v="LCC"/>
    <x v="0"/>
    <d v="2025-06-27T00:00:00"/>
    <d v="2025-07-04T00:00:00"/>
    <d v="2025-07-04T00:00:00"/>
    <m/>
    <s v="ES"/>
    <d v="2025-06-17T00:00:00"/>
    <m/>
    <m/>
    <m/>
    <m/>
    <s v="N/A"/>
    <n v="7"/>
    <m/>
    <m/>
    <m/>
    <e v="#N/A"/>
    <s v="Proced. MP"/>
    <s v="Altim"/>
  </r>
  <r>
    <s v="MP-0097"/>
    <d v="2025-05-20T00:00:00"/>
    <m/>
    <s v="Susana"/>
    <m/>
    <s v="Consulta"/>
    <x v="0"/>
    <x v="4"/>
    <s v="Modificaciones en masa de NIF de clients y proveedores para informe de declaración de IVA"/>
    <m/>
    <m/>
    <s v="Alta"/>
    <s v="20/05/2025 se abre_x000a_26/05/2025 Se prioriza por el usuario, se realiza una prueba/Se ha extraido los NIF en el sistema para verificar que tercero falta_x000a_29/05/2025 Se realiza la prueba y se revisa internamente por Altim para ver si esposible modificarlo en masa. Se retrasa porque hay un recurso menos y se ha prioorizado otras cosas_x000a_06/06/2025 se parovecha la incidencia porque se identifica que hay nif incorrectas y MP tiene que corregirlos_x000a_11/06/2025 Recordar email_x000a_13/06/2025 Enviado email de recuerdo"/>
    <s v="S4/hana"/>
    <s v="AHY"/>
    <x v="2"/>
    <d v="2025-06-30T00:00:00"/>
    <d v="2025-07-07T00:00:00"/>
    <d v="2025-07-07T00:00:00"/>
    <m/>
    <s v="ES"/>
    <m/>
    <m/>
    <m/>
    <m/>
    <m/>
    <s v="N/A"/>
    <n v="9"/>
    <s v="Se ha extraido los NIF en el sistema para verificar que tercero falta"/>
    <m/>
    <m/>
    <e v="#N/A"/>
    <s v="Proced. MP"/>
    <s v="MP"/>
  </r>
  <r>
    <s v="MP-0098"/>
    <d v="2025-05-20T00:00:00"/>
    <m/>
    <s v="Susana"/>
    <m/>
    <s v="Consulta"/>
    <x v="0"/>
    <x v="4"/>
    <s v="Verificar volumen de negoio clientes y proveedores, facilitar informe"/>
    <m/>
    <m/>
    <s v="Media"/>
    <s v="20/05/2025 se abre/_x000a_29/05/2025 Verificar si esta duplicada MP-0008_x000a_06/06/2025 Duplicada"/>
    <s v="S4/hana"/>
    <s v="M.A"/>
    <x v="9"/>
    <m/>
    <m/>
    <m/>
    <m/>
    <s v="ES"/>
    <m/>
    <m/>
    <m/>
    <m/>
    <m/>
    <s v="N/A"/>
    <n v="1"/>
    <m/>
    <m/>
    <m/>
    <e v="#N/A"/>
    <s v="Proced. MP"/>
    <s v="Altim"/>
  </r>
  <r>
    <s v="MP-0099"/>
    <d v="2025-05-20T00:00:00"/>
    <m/>
    <s v="Lu WANG"/>
    <m/>
    <s v="Evolutivo"/>
    <x v="4"/>
    <x v="4"/>
    <s v="Formación arquitectura SAP Reunión sistemas en S/4Hana y Mindset cloud_x000a_MP-0099 Presentación BTP"/>
    <m/>
    <m/>
    <s v="Alta"/>
    <s v="20/05/2025 se abre/"/>
    <s v="S4/hana"/>
    <s v="ADM"/>
    <x v="0"/>
    <d v="2025-05-30T00:00:00"/>
    <d v="2025-06-06T00:00:00"/>
    <d v="2025-06-06T00:00:00"/>
    <m/>
    <s v="ES"/>
    <d v="2025-06-12T00:00:00"/>
    <s v="Sin retraso"/>
    <m/>
    <m/>
    <m/>
    <s v="N/A"/>
    <n v="5"/>
    <m/>
    <m/>
    <m/>
    <e v="#N/A"/>
    <s v="Proced. MP"/>
    <s v="Altim"/>
  </r>
  <r>
    <s v="MP-0100"/>
    <d v="2025-05-20T00:00:00"/>
    <m/>
    <s v="Lu WANG"/>
    <m/>
    <s v="Evolutivo"/>
    <x v="1"/>
    <x v="4"/>
    <s v="Formación Interco"/>
    <m/>
    <m/>
    <s v="Alta"/>
    <s v="20/05/2025 se abre/"/>
    <s v="S4/hana"/>
    <s v="ADM"/>
    <x v="0"/>
    <d v="2025-05-30T00:00:00"/>
    <d v="2025-06-06T00:00:00"/>
    <d v="2025-06-06T00:00:00"/>
    <m/>
    <s v="ES"/>
    <d v="2025-05-20T00:00:00"/>
    <s v="Sin retraso"/>
    <m/>
    <m/>
    <m/>
    <s v="N/A"/>
    <n v="0.5"/>
    <m/>
    <m/>
    <s v="Realizado"/>
    <d v="1899-12-30T00:00:00"/>
    <s v="Proced. MP"/>
    <s v="Altim"/>
  </r>
  <r>
    <s v="MP-0101"/>
    <d v="2025-05-21T00:00:00"/>
    <m/>
    <s v="Lu WANG"/>
    <m/>
    <s v="Consulta"/>
    <x v="3"/>
    <x v="4"/>
    <s v="El destinatario de factura puede ser un autonomo y el cliente una empresa"/>
    <m/>
    <m/>
    <s v="Alta"/>
    <s v="20/05/2025 se abre y se contesta/Entregada para cerrar esta semana"/>
    <s v="S4/hana"/>
    <s v="M.A"/>
    <x v="0"/>
    <d v="2025-05-22T00:00:00"/>
    <d v="2025-05-29T00:00:00"/>
    <d v="2025-05-29T00:00:00"/>
    <m/>
    <s v="ES"/>
    <d v="2025-05-22T00:00:00"/>
    <s v="Sin retraso"/>
    <m/>
    <m/>
    <m/>
    <s v="N/A"/>
    <n v="0.5"/>
    <s v="Entregada para cerrar esta semana"/>
    <m/>
    <s v="Entregado."/>
    <d v="1899-12-30T00:00:00"/>
    <s v="Proced. MP"/>
    <s v="Altim"/>
  </r>
  <r>
    <s v="MP-0102"/>
    <d v="2025-05-22T00:00:00"/>
    <m/>
    <s v="Ana"/>
    <m/>
    <s v="Consulta"/>
    <x v="0"/>
    <x v="4"/>
    <s v="CONSULTA ACTIVO FIJO_x000a_-Al contabilizar el activo fijo, lo lleva a la cuenta 219 en lugar de la cuenta 218 a pesar de que se ha identificado como Elemento de transporte (Z218)_x000a__x000a_-En este caso, es un activo deducible al 50%. Si ponemos un 50% variable en la amortización, ¿cómo distribuye el gasto? Habría que crear un cuenta de amortización NO DEDUCIBLE donde se cargue el 50% y el otro 50% a la cuenta de amortización normal."/>
    <m/>
    <m/>
    <s v="Media"/>
    <s v="21/05/2025 se abre/_x000a_11/06/2025 Determinación de cuentas"/>
    <s v="S4/hana"/>
    <s v="LJS"/>
    <x v="8"/>
    <m/>
    <m/>
    <m/>
    <m/>
    <s v="ES"/>
    <m/>
    <m/>
    <m/>
    <m/>
    <m/>
    <s v="N/A"/>
    <n v="2"/>
    <m/>
    <m/>
    <m/>
    <e v="#N/A"/>
    <s v="Proced. MP"/>
    <s v="MP"/>
  </r>
  <r>
    <s v="MP-0103"/>
    <d v="2025-05-22T00:00:00"/>
    <m/>
    <s v="Luna, Susana "/>
    <m/>
    <s v="Evolutivo"/>
    <x v="0"/>
    <x v="4"/>
    <s v="Estructura de balance"/>
    <m/>
    <m/>
    <s v="Alta"/>
    <s v="22/05/2025 error al enumerarla como MP-0081 ahora 103/Gestionando la estructura de balance_x000a_03/06/2025 Se sube los cambios a la espera de confirmación del usuario"/>
    <s v="S4/hana"/>
    <s v="MPP"/>
    <x v="0"/>
    <d v="2025-09-30T00:00:00"/>
    <d v="2025-10-07T00:00:00"/>
    <d v="2025-10-07T00:00:00"/>
    <m/>
    <s v="ES"/>
    <d v="2025-07-11T00:00:00"/>
    <s v="Sin retraso"/>
    <m/>
    <m/>
    <m/>
    <s v="N/A"/>
    <n v="5.5"/>
    <s v="Gestionando la estructura de balance"/>
    <s v="ZTBK901796"/>
    <s v="Realizada correcciones pte de validación MP"/>
    <s v="Subir a Producción"/>
    <s v="Proced. MP"/>
    <s v="Altim"/>
  </r>
  <r>
    <s v="MP-0104"/>
    <d v="2025-05-22T00:00:00"/>
    <m/>
    <s v="Susana"/>
    <m/>
    <s v="Incidencia"/>
    <x v="0"/>
    <x v="4"/>
    <s v="Revisar la asignación automática de ceco a cuenta de gastos"/>
    <m/>
    <m/>
    <s v="Baja"/>
    <s v="22/05/2025 se abre la incidencia/_x000a_06/06/2025 Se extraen datos para la revisión de MP"/>
    <s v="S4/hana"/>
    <s v="LJS"/>
    <x v="9"/>
    <m/>
    <m/>
    <m/>
    <m/>
    <s v="ES"/>
    <m/>
    <m/>
    <m/>
    <m/>
    <m/>
    <s v="N/A"/>
    <n v="11.5"/>
    <m/>
    <m/>
    <m/>
    <e v="#N/A"/>
    <s v="Proced. MP"/>
    <s v="Altim"/>
  </r>
  <r>
    <s v="MP-0105"/>
    <d v="2025-06-12T00:00:00"/>
    <m/>
    <s v="Liu Yalu"/>
    <m/>
    <s v="Petición"/>
    <x v="3"/>
    <x v="4"/>
    <s v="posibilidad de realizar facturas rectificativas sin referencia a factura de ventas”"/>
    <m/>
    <m/>
    <s v="Crítica"/>
    <s v="11/06/2025 Se pone a trabajar a principios de semana"/>
    <s v="S4/hana"/>
    <s v="RMB"/>
    <x v="5"/>
    <d v="2025-09-30T00:00:00"/>
    <d v="2025-10-07T00:00:00"/>
    <d v="2025-10-07T00:00:00"/>
    <m/>
    <s v="PT"/>
    <m/>
    <m/>
    <m/>
    <m/>
    <n v="1"/>
    <s v="Medio"/>
    <n v="1.5"/>
    <m/>
    <m/>
    <m/>
    <e v="#N/A"/>
    <s v="Proced. MP"/>
    <s v="Altim"/>
  </r>
  <r>
    <s v="MP-0106"/>
    <d v="2025-05-22T00:00:00"/>
    <m/>
    <s v="Susana"/>
    <m/>
    <s v="Incidencia"/>
    <x v="3"/>
    <x v="4"/>
    <s v="Numeración de las facturas rectificativas tiene que ser diferente a la de la venta original"/>
    <m/>
    <m/>
    <s v="Alta"/>
    <s v="22/05/2025 se abre la incidencia/_x000a_04/06/2025 asignada"/>
    <s v="S4/hana"/>
    <s v="RMB"/>
    <x v="5"/>
    <d v="2025-09-30T00:00:00"/>
    <d v="2025-10-07T00:00:00"/>
    <d v="2025-10-07T00:00:00"/>
    <m/>
    <s v="ES"/>
    <m/>
    <m/>
    <m/>
    <m/>
    <m/>
    <s v="N/A"/>
    <n v="1"/>
    <m/>
    <m/>
    <m/>
    <e v="#N/A"/>
    <s v="Proced. MP"/>
    <s v="Altim"/>
  </r>
  <r>
    <s v="MP-0107"/>
    <d v="2025-05-26T00:00:00"/>
    <m/>
    <s v="Lu WANG"/>
    <m/>
    <s v="Consulta"/>
    <x v="0"/>
    <x v="4"/>
    <s v="Vencimiento neto de las partidas"/>
    <m/>
    <m/>
    <s v="Alta"/>
    <s v="22/05/2025 se manifiesta la incidencia de la app de cobros_x000a_26/05/2025 se requiere información/Se solicita información_x000a_03/06/2025 Se retrasa por prioridas de otras incidencias"/>
    <m/>
    <s v="M.A"/>
    <x v="1"/>
    <m/>
    <m/>
    <m/>
    <m/>
    <s v="ES"/>
    <m/>
    <m/>
    <m/>
    <m/>
    <m/>
    <s v="N/A"/>
    <n v="1"/>
    <s v="Se solicita información"/>
    <m/>
    <s v="Pte Info MP"/>
    <d v="1899-12-30T00:00:00"/>
    <s v="Proced. MP"/>
    <s v="MP"/>
  </r>
  <r>
    <s v="MP-0108"/>
    <d v="2025-05-22T00:00:00"/>
    <m/>
    <s v="Lu WANG"/>
    <m/>
    <s v="Consulta"/>
    <x v="1"/>
    <x v="4"/>
    <s v="Reunión comercio Internacional"/>
    <m/>
    <m/>
    <s v="Alta"/>
    <s v="22/05/2025 Se realiza una reunión de 1,5 h/Realizado"/>
    <m/>
    <s v="ADM"/>
    <x v="0"/>
    <d v="2025-05-22T00:00:00"/>
    <d v="2025-05-22T00:00:00"/>
    <d v="2025-05-22T00:00:00"/>
    <m/>
    <s v="ES"/>
    <d v="2025-05-22T00:00:00"/>
    <s v="Sin retraso"/>
    <m/>
    <m/>
    <m/>
    <s v="N/A"/>
    <n v="1.5"/>
    <s v="Realizado"/>
    <m/>
    <s v="Realizado"/>
    <d v="1899-12-30T00:00:00"/>
    <s v="Formación."/>
    <s v="Altim"/>
  </r>
  <r>
    <s v="MP-0109"/>
    <d v="2025-05-28T00:00:00"/>
    <m/>
    <s v="Susana"/>
    <m/>
    <s v="Petición"/>
    <x v="0"/>
    <x v="4"/>
    <s v="Necesito que se pueda contabilizar de forma manual o directamente las cuentas 407… de anticipos._x000a__x000a_ _x000a__x000a_La cuenta 5201000008 (Tarjeta Caixa  0859) necesito que me cambies el concepto de la cuenta Tarjeta Caixa 0517/8220_x000a__x000a_ _x000a__x000a_La cuenta 5201000019_x000a__x000a_Tarjeta Sabadel 9022_x000a__x000a_Tarjeta Sabadell 5540 0146 6938 9022_x000a__x000a_YCOA_x000a__x000a_ES01_x000a__x000a_que me la cambies el concepto por Tarjeta Caixa 6923  y me lo asocies al banco de la caixa ."/>
    <m/>
    <m/>
    <s v="Alta"/>
    <s v="28/05/2025 Se abre la incidencia de carácter urgente y se piden una serie de dudas_x000a_29/05/2025 Se baja la prioridad porque se esta a la espera_x000a_30/05/2025 se vuelve a pedir requerimientos, la usuaria quiere confirmar posibilidades antes de confirmar._x000a_03/06/2025 Confirmando de reuqerimientos, Susana Contesta_x000a_06/06/2025 Se cierra"/>
    <m/>
    <s v="AHY"/>
    <x v="0"/>
    <d v="2025-06-04T00:00:00"/>
    <d v="2025-06-05T00:00:00"/>
    <d v="2025-05-26T00:00:00"/>
    <m/>
    <s v="ES"/>
    <d v="2025-06-04T00:00:00"/>
    <s v="Sin retraso"/>
    <m/>
    <m/>
    <m/>
    <s v="N/A"/>
    <n v="13"/>
    <m/>
    <m/>
    <s v="Pte de confirmar con MP"/>
    <s v="Pendiente confirmación"/>
    <s v="Análisis y Diseño funcional "/>
    <s v="Altim"/>
  </r>
  <r>
    <s v="MP-0110"/>
    <d v="2025-05-28T00:00:00"/>
    <m/>
    <s v="Susana"/>
    <m/>
    <s v="Petición"/>
    <x v="0"/>
    <x v="4"/>
    <s v="Patrimonio de Activos Fijos en ES01"/>
    <m/>
    <m/>
    <s v="Alta"/>
    <s v="28/05/2025 Patrimonio de Activos Fijos en ES01_x000a_28/05/2025 Envio de fichero e informado de la app_x000a_03/06/2025 Sin contestación del usuario "/>
    <m/>
    <s v="M.A"/>
    <x v="0"/>
    <d v="2025-05-28T00:00:00"/>
    <d v="2025-05-29T00:00:00"/>
    <d v="2025-05-26T00:00:00"/>
    <m/>
    <s v="ES"/>
    <d v="2025-05-28T00:00:00"/>
    <s v="Sin retraso"/>
    <m/>
    <m/>
    <m/>
    <s v="N/A"/>
    <n v="2"/>
    <m/>
    <m/>
    <s v="Se manda información y como extraerla"/>
    <d v="1899-12-30T00:00:00"/>
    <s v="Análisis y Diseño funcional "/>
    <s v="Altim"/>
  </r>
  <r>
    <s v="MP-0111"/>
    <d v="2025-05-28T00:00:00"/>
    <m/>
    <s v="Susana"/>
    <m/>
    <s v="Consulta"/>
    <x v="0"/>
    <x v="4"/>
    <s v="Anticipo, arias opciones a la hora de generar un anticipo de manera manual"/>
    <m/>
    <m/>
    <s v="Alta"/>
    <s v="28/05/2025 Se contesta y se explica el proceso_x000a_03/06/2025 Recordar"/>
    <m/>
    <s v="MPP"/>
    <x v="0"/>
    <d v="2025-09-30T00:00:00"/>
    <d v="2025-10-07T00:00:00"/>
    <d v="2025-10-07T00:00:00"/>
    <m/>
    <s v="ES"/>
    <d v="2025-07-11T00:00:00"/>
    <s v="Sin retraso"/>
    <m/>
    <m/>
    <m/>
    <s v="N/A"/>
    <n v="3.5"/>
    <m/>
    <m/>
    <s v="Se manda información y como relizarlo"/>
    <d v="1899-12-30T00:00:00"/>
    <s v="Análisis y Diseño funcional "/>
    <s v="Altim"/>
  </r>
  <r>
    <s v="MP-0112"/>
    <d v="2025-05-29T00:00:00"/>
    <m/>
    <s v="Marta"/>
    <m/>
    <s v="Consulta"/>
    <x v="1"/>
    <x v="4"/>
    <s v="Duda en facturas de compras intracomunitarias.el regitro info es lo que lleva el historial de a quien le compraste y a qué precio se lo compraste, en este punto no se rige la contabilización._x000a__x000a_La contabilización se verifica en la categoría de valoración del material"/>
    <m/>
    <m/>
    <s v="Alta"/>
    <s v="29/05/2025 Se contesta y se explica el proceso para solucionar este cambio de parametrización"/>
    <m/>
    <s v="M.A"/>
    <x v="0"/>
    <d v="2025-08-29T00:00:00"/>
    <d v="2025-09-05T00:00:00"/>
    <d v="2025-09-05T00:00:00"/>
    <m/>
    <s v="ES"/>
    <d v="2025-07-11T00:00:00"/>
    <m/>
    <m/>
    <m/>
    <m/>
    <s v="N/A"/>
    <n v="4.5"/>
    <m/>
    <m/>
    <s v="Se manda información y como relizarlo"/>
    <d v="1899-12-30T00:00:00"/>
    <s v="Proced. MP"/>
    <s v="Altim"/>
  </r>
  <r>
    <s v="MP-01121"/>
    <d v="2025-05-29T00:00:00"/>
    <m/>
    <s v="Marta"/>
    <m/>
    <s v="Evolutivo"/>
    <x v="1"/>
    <x v="6"/>
    <s v="Extraer el maestro de materiales y su categoria de valoración - Altim_x000a_Asignar a la extraccion del material la categoría de valoración nueva en el fichero nuevo - MP_x000a_"/>
    <m/>
    <m/>
    <s v="Alta"/>
    <s v="29/05/2025 Se propone solución para que no pase de cara al futuro_x000a_18/06/2025  -está en el mestro de materiales. Ficheros preparados por Leandro"/>
    <m/>
    <s v="M.A"/>
    <x v="0"/>
    <d v="2025-06-18T00:00:00"/>
    <d v="2025-06-25T00:00:00"/>
    <d v="2025-06-25T00:00:00"/>
    <m/>
    <s v="ES"/>
    <d v="2025-06-17T00:00:00"/>
    <m/>
    <m/>
    <m/>
    <m/>
    <s v="N/A"/>
    <n v="0.5"/>
    <m/>
    <m/>
    <m/>
    <e v="#N/A"/>
    <s v="Calidad de Datos "/>
    <s v="Altim"/>
  </r>
  <r>
    <s v="MP-01122"/>
    <d v="2025-05-29T00:00:00"/>
    <m/>
    <s v="Marta"/>
    <m/>
    <s v="Evolutivo"/>
    <x v="1"/>
    <x v="6"/>
    <s v="Crear dos nuevas categorias de valoración:_x000a_6000000003 se quedaría la 3100 cambiar configuración ya que la mayoría de proveedores son de No UE y asi habria que modificar el DM lo menos posible - Altim_x000a_6000000001 se quedaría la 3101 crearla nueva - Altim_x000a_6000000002se quedaría la 3102 crearla nueva - Altim"/>
    <m/>
    <m/>
    <s v="Alta"/>
    <s v="29/05/2025 Se propone solución para que no pase de cara al futuro_x000a_18/06/2025 - se cierre. Nose corrigen categorias de valoración"/>
    <m/>
    <s v="M.A"/>
    <x v="0"/>
    <d v="2025-06-18T00:00:00"/>
    <d v="2025-06-25T00:00:00"/>
    <d v="2025-06-25T00:00:00"/>
    <m/>
    <s v="ES"/>
    <d v="2025-07-11T00:00:00"/>
    <m/>
    <m/>
    <m/>
    <m/>
    <s v="N/A"/>
    <n v="3.5"/>
    <m/>
    <m/>
    <m/>
    <e v="#N/A"/>
    <s v="Configuración y desarrollos. "/>
    <s v="Altim"/>
  </r>
  <r>
    <s v="MP-01123"/>
    <d v="2025-05-29T00:00:00"/>
    <m/>
    <s v="Marta"/>
    <m/>
    <s v="Evolutivo"/>
    <x v="1"/>
    <x v="6"/>
    <s v="Modificación masiva de Materiales - Ver la viabilidad por parte de Altim y si no es posible el usuario"/>
    <m/>
    <m/>
    <s v="Alta"/>
    <s v="29/05/2025 Se propone solución para que no pase de cara al futuro_x000a_18/06/2025 se cierrra. No se corrigirán categorías de valoración masivas"/>
    <m/>
    <s v="M.A"/>
    <x v="0"/>
    <d v="2025-06-18T00:00:00"/>
    <d v="2025-06-25T00:00:00"/>
    <d v="2025-06-25T00:00:00"/>
    <m/>
    <s v="ES"/>
    <d v="2025-07-11T00:00:00"/>
    <m/>
    <m/>
    <m/>
    <m/>
    <s v="N/A"/>
    <n v="1.5"/>
    <m/>
    <m/>
    <m/>
    <e v="#N/A"/>
    <s v="Calidad de Datos "/>
    <s v="Altim"/>
  </r>
  <r>
    <s v="MP-01124"/>
    <d v="2025-05-30T00:00:00"/>
    <m/>
    <s v="Isabel"/>
    <m/>
    <s v="Petición"/>
    <x v="3"/>
    <x v="6"/>
    <s v="Pedir que no se pueda crear la factura sin contabilizarse"/>
    <m/>
    <m/>
    <s v="Alta"/>
    <s v="30/05/2025 se toma el requisito y se estudia la viabilidad"/>
    <m/>
    <s v="M.A"/>
    <x v="8"/>
    <m/>
    <m/>
    <m/>
    <m/>
    <s v="ES"/>
    <m/>
    <m/>
    <m/>
    <m/>
    <m/>
    <s v="N/A"/>
    <n v="0"/>
    <m/>
    <m/>
    <m/>
    <e v="#N/A"/>
    <s v="Proced. MP"/>
    <s v="MP"/>
  </r>
  <r>
    <s v="MP-0113"/>
    <d v="2025-05-30T00:00:00"/>
    <m/>
    <s v="Isabel"/>
    <m/>
    <s v="Petición"/>
    <x v="3"/>
    <x v="6"/>
    <s v="MP-Creación de factura sin contabilizar"/>
    <m/>
    <m/>
    <s v="Alta"/>
    <s v="30/09/2025 Viendo la viabilidad_x000a_04/06/2025 asignado internamente"/>
    <m/>
    <s v="RMB"/>
    <x v="5"/>
    <d v="2025-09-30T00:00:00"/>
    <d v="2025-10-07T00:00:00"/>
    <d v="2025-10-07T00:00:00"/>
    <m/>
    <s v="ES"/>
    <m/>
    <m/>
    <m/>
    <m/>
    <m/>
    <s v="N/A"/>
    <n v="3"/>
    <m/>
    <m/>
    <m/>
    <e v="#N/A"/>
    <s v="Proced. MP"/>
    <s v="Altim"/>
  </r>
  <r>
    <s v="MP-0114"/>
    <d v="2025-05-30T00:00:00"/>
    <m/>
    <s v="Lu WANG"/>
    <m/>
    <s v="Petición"/>
    <x v="3"/>
    <x v="4"/>
    <s v="Las asignaciones de cuenta para contabilizaciones  automáticasno están bien relacionadas"/>
    <m/>
    <m/>
    <s v="Alta"/>
    <s v="Se realizará una revisión de la VKOA y la OBYC con Isabel y el departamento de finanzas_x000a_25/06/2025 - pendiente de una revisión completa con Isabel de VKOA y OBYC"/>
    <m/>
    <s v="LCC"/>
    <x v="5"/>
    <d v="2025-09-30T00:00:00"/>
    <d v="2025-10-07T00:00:00"/>
    <d v="2025-10-07T00:00:00"/>
    <m/>
    <s v="ES"/>
    <m/>
    <m/>
    <m/>
    <m/>
    <m/>
    <s v="N/A"/>
    <n v="8"/>
    <m/>
    <m/>
    <m/>
    <e v="#N/A"/>
    <s v="Configuración y desarrollos. "/>
    <s v="Altim"/>
  </r>
  <r>
    <s v="MP-0115"/>
    <d v="2025-05-29T00:00:00"/>
    <m/>
    <s v="Liu Yalu"/>
    <m/>
    <s v="Incidencia"/>
    <x v="1"/>
    <x v="4"/>
    <s v="Devoluciones de compras internacionales"/>
    <m/>
    <m/>
    <s v="Alta"/>
    <s v="29/05/2025: Prioridad Alta por Yalu Liu_x000a_11/06/2025 Para cerrar"/>
    <m/>
    <s v="LCC"/>
    <x v="7"/>
    <d v="2025-06-07T00:00:00"/>
    <d v="2025-06-14T00:00:00"/>
    <d v="2025-06-07T00:00:00"/>
    <m/>
    <s v="ES"/>
    <m/>
    <m/>
    <m/>
    <m/>
    <m/>
    <s v="N/A"/>
    <n v="14"/>
    <m/>
    <m/>
    <m/>
    <e v="#N/A"/>
    <s v="Configuración y desarrollos. "/>
    <s v="MP"/>
  </r>
  <r>
    <s v="MP-01151"/>
    <d v="2025-05-29T00:00:00"/>
    <m/>
    <s v="Liu Yalu"/>
    <m/>
    <s v="Incidencia"/>
    <x v="1"/>
    <x v="4"/>
    <s v="Devoluciones de compras internacionales - Preparación de manual de usuario"/>
    <m/>
    <m/>
    <s v="Alta"/>
    <s v="29/05/2025: Prioridad Alta por Yalu Liu_x000a_10/06/2025: Realización y terminar un manual para las devoluciones europa_x000a_11/06/2025 Para cerrar"/>
    <m/>
    <s v="LCC"/>
    <x v="7"/>
    <d v="2025-06-11T00:00:00"/>
    <d v="2025-06-14T00:00:00"/>
    <d v="2025-06-07T00:00:00"/>
    <m/>
    <s v="ES"/>
    <m/>
    <m/>
    <m/>
    <m/>
    <m/>
    <s v="N/A"/>
    <n v="0"/>
    <m/>
    <m/>
    <m/>
    <e v="#N/A"/>
    <s v="Formación."/>
    <s v="MP"/>
  </r>
  <r>
    <s v="MP-0116"/>
    <d v="2025-05-29T00:00:00"/>
    <m/>
    <s v="Liu Yalu"/>
    <m/>
    <s v="Incidencia"/>
    <x v="1"/>
    <x v="4"/>
    <s v="Atasco pedidos de compras desde Enero. Poder contabilizar los pedidos de compras"/>
    <m/>
    <m/>
    <s v="Alta"/>
    <s v="11/06/2025 Para porque MP tiene que tomar una decisión"/>
    <m/>
    <s v="LCC"/>
    <x v="1"/>
    <m/>
    <m/>
    <m/>
    <m/>
    <s v="ES"/>
    <m/>
    <m/>
    <m/>
    <m/>
    <m/>
    <s v="N/A"/>
    <n v="2"/>
    <m/>
    <m/>
    <m/>
    <e v="#N/A"/>
    <s v="Proced. MP"/>
    <s v="MP"/>
  </r>
  <r>
    <s v="MP-01161"/>
    <d v="2025-05-29T00:00:00"/>
    <m/>
    <s v="Liu Yalu"/>
    <m/>
    <s v="Incidencia"/>
    <x v="1"/>
    <x v="4"/>
    <s v="Atasco pedidos de compras desde Enero. Buscar posibilidades de contabilización rápida"/>
    <m/>
    <m/>
    <s v="Alta"/>
    <s v="Carga desde Cokpit_x000a_11/06/2025 Para porque MP tiene que tomar una decisión, se envia fichero de carga"/>
    <m/>
    <s v="LCC"/>
    <x v="2"/>
    <m/>
    <m/>
    <m/>
    <m/>
    <s v="ES"/>
    <m/>
    <m/>
    <m/>
    <m/>
    <m/>
    <s v="N/A"/>
    <n v="0"/>
    <m/>
    <m/>
    <m/>
    <e v="#N/A"/>
    <s v="Proced. MP"/>
    <s v="MP"/>
  </r>
  <r>
    <s v="MP-0117"/>
    <d v="2025-05-29T00:00:00"/>
    <m/>
    <s v="Liu Yalu"/>
    <m/>
    <s v="Incidencia"/>
    <x v="1"/>
    <x v="4"/>
    <s v="Revisión Maestro de materiales"/>
    <m/>
    <m/>
    <s v="Alta"/>
    <s v="18/06/2025 - tras envir los ficheros Leandro, falta corregir por parte de MP los datos erróneos_x000a_18/06/2025"/>
    <m/>
    <s v="LCC"/>
    <x v="2"/>
    <m/>
    <m/>
    <m/>
    <m/>
    <s v="ES"/>
    <m/>
    <m/>
    <m/>
    <m/>
    <m/>
    <s v="N/A"/>
    <n v="12"/>
    <m/>
    <m/>
    <m/>
    <e v="#N/A"/>
    <s v="Proced. MP"/>
    <s v="MP"/>
  </r>
  <r>
    <s v="MP-0118"/>
    <d v="2025-05-29T00:00:00"/>
    <m/>
    <s v="Lu WANG"/>
    <m/>
    <s v="Petición"/>
    <x v="2"/>
    <x v="4"/>
    <s v="Revisar si la API de tipos de cambio está conectada y funcionando."/>
    <m/>
    <m/>
    <s v="Media"/>
    <s v="Ver si está funcionando y que no mete los tipos de cambio &quot;al reves&quot;. Relación con la MP-0017"/>
    <m/>
    <s v="AL"/>
    <x v="8"/>
    <m/>
    <m/>
    <m/>
    <m/>
    <s v="ES"/>
    <m/>
    <m/>
    <m/>
    <m/>
    <m/>
    <s v="N/A"/>
    <n v="0"/>
    <m/>
    <m/>
    <m/>
    <e v="#N/A"/>
    <s v="Proced. MP"/>
    <s v="MP"/>
  </r>
  <r>
    <s v="MP-0119"/>
    <d v="2025-06-02T00:00:00"/>
    <m/>
    <s v="Lu WANG"/>
    <m/>
    <s v="Formación"/>
    <x v="0"/>
    <x v="4"/>
    <s v="Revisar y ver posibilidades para tomar una decisión sobre la grabacion de datos del flujo de compras en SAP"/>
    <m/>
    <m/>
    <s v="Alta"/>
    <s v="02/05/2025 Se hace un workshop donde se verifica el estado actual y se ve las posibilidades de encajar la mejor forma la informaciónm financiera en el sistema de cara a las obligaciones legales, tambien se trata la ¡s devoluciones legales"/>
    <m/>
    <s v="ADM"/>
    <x v="0"/>
    <d v="2025-06-07T00:00:00"/>
    <d v="2025-06-14T00:00:00"/>
    <d v="2025-06-07T00:00:00"/>
    <m/>
    <s v="ES"/>
    <d v="2025-06-07T00:00:00"/>
    <s v="Sin retraso"/>
    <m/>
    <m/>
    <m/>
    <s v="Alto"/>
    <n v="0"/>
    <m/>
    <m/>
    <m/>
    <m/>
    <s v="Proced. MP"/>
    <s v="Altim"/>
  </r>
  <r>
    <s v="MP-0120"/>
    <d v="2025-05-07T00:00:00"/>
    <m/>
    <s v="Lu WANG"/>
    <m/>
    <s v="Gestión"/>
    <x v="5"/>
    <x v="4"/>
    <s v="Gestion del proyecto - TTE de ordenes"/>
    <m/>
    <m/>
    <s v="Alta"/>
    <s v="03/06/025 revisión de oredenes de transporte"/>
    <s v="S4/hana"/>
    <s v="M.A"/>
    <x v="5"/>
    <d v="2025-12-31T00:00:00"/>
    <d v="2025-06-14T00:00:00"/>
    <d v="2025-06-07T00:00:00"/>
    <m/>
    <s v="ES"/>
    <m/>
    <m/>
    <m/>
    <m/>
    <m/>
    <s v="N/A"/>
    <n v="5"/>
    <m/>
    <m/>
    <m/>
    <m/>
    <s v="Proced. MP"/>
    <s v="Altim"/>
  </r>
  <r>
    <s v="MP-0121"/>
    <d v="2025-06-06T00:00:00"/>
    <m/>
    <s v="Lu WANG"/>
    <m/>
    <s v="Petición"/>
    <x v="0"/>
    <x v="4"/>
    <s v="CONTABILIZAR DIRECTAMENTE EN LAS SIGUIENTES CUENTAS DE EXISTENCIAS"/>
    <m/>
    <m/>
    <s v="Alta"/>
    <s v="CONTABILIZAR DIRECTAMENTE EN LAS SIGUIENTES CUENTAS DE EXISTENCIAS_x000a_06/05/2025 Hay que coordinarse con compras para que no se contabilice la em mientras se hace el ajuste."/>
    <m/>
    <s v="AHY"/>
    <x v="0"/>
    <d v="2025-06-17T00:00:00"/>
    <d v="2025-06-14T00:00:00"/>
    <d v="2025-06-07T00:00:00"/>
    <m/>
    <s v="ES"/>
    <d v="2025-07-11T00:00:00"/>
    <m/>
    <m/>
    <m/>
    <m/>
    <s v="N/A"/>
    <n v="7"/>
    <m/>
    <m/>
    <m/>
    <m/>
    <s v="Proced. MP"/>
    <s v="Altim"/>
  </r>
  <r>
    <s v="MP-0122"/>
    <d v="2025-06-06T00:00:00"/>
    <m/>
    <s v="Lu WANG"/>
    <m/>
    <s v="Petición"/>
    <x v="0"/>
    <x v="4"/>
    <s v="descarga ficheros movimientos bancarios."/>
    <m/>
    <m/>
    <s v="Media"/>
    <s v="descarga ficheros movimientos bancarios."/>
    <m/>
    <s v="AHY"/>
    <x v="1"/>
    <m/>
    <m/>
    <m/>
    <m/>
    <s v="ES"/>
    <m/>
    <m/>
    <m/>
    <m/>
    <m/>
    <s v="N/A"/>
    <n v="4"/>
    <m/>
    <m/>
    <m/>
    <m/>
    <s v="Proced. MP"/>
    <s v="MP"/>
  </r>
  <r>
    <s v="MP-0123"/>
    <d v="2025-06-11T00:00:00"/>
    <m/>
    <s v="Lu WANG"/>
    <m/>
    <s v="Petición"/>
    <x v="3"/>
    <x v="4"/>
    <s v="Copia de la clase de documento CBST"/>
    <m/>
    <m/>
    <s v="Alta"/>
    <s v="11/06/2025 Copia de la clase de documento CBST a CBAR no prevista"/>
    <m/>
    <s v="RMB"/>
    <x v="5"/>
    <d v="2025-09-30T00:00:00"/>
    <d v="2025-10-07T00:00:00"/>
    <d v="2025-10-07T00:00:00"/>
    <m/>
    <s v="ES"/>
    <m/>
    <m/>
    <m/>
    <m/>
    <m/>
    <s v="N/A"/>
    <n v="0"/>
    <m/>
    <m/>
    <m/>
    <m/>
    <s v="Configuración y desarrollos. "/>
    <s v="Altim"/>
  </r>
  <r>
    <s v="MP-0124"/>
    <d v="2025-06-06T00:00:00"/>
    <m/>
    <s v="Lu WANG"/>
    <m/>
    <s v="Petición"/>
    <x v="3"/>
    <x v="4"/>
    <s v="Problema con la determinación del impuesto TTX1 en la factura de ventas"/>
    <m/>
    <m/>
    <s v="Alta"/>
    <s v="Problema con la determinación del impuesto TTX1 en la factura de ventas_x000a_06/06/2025 Se analiza y se abre_x000a_11/06/2025 Parametrizando y probando en test"/>
    <m/>
    <s v="RMB"/>
    <x v="7"/>
    <d v="2025-07-03T00:00:00"/>
    <d v="2025-07-10T00:00:00"/>
    <d v="2025-06-07T00:00:00"/>
    <m/>
    <s v="ES"/>
    <m/>
    <m/>
    <m/>
    <m/>
    <m/>
    <s v="N/A"/>
    <n v="12"/>
    <m/>
    <m/>
    <m/>
    <m/>
    <s v="Proced. MP"/>
    <s v="MP"/>
  </r>
  <r>
    <s v="MP-0125"/>
    <d v="2025-06-05T00:00:00"/>
    <m/>
    <s v="Lu WANG"/>
    <m/>
    <s v="Formación"/>
    <x v="5"/>
    <x v="4"/>
    <s v="Explicar proceso compras internacionales"/>
    <m/>
    <m/>
    <s v="Alta"/>
    <s v="Sesión con equipo de compras"/>
    <m/>
    <s v="ADM"/>
    <x v="0"/>
    <d v="2025-06-05T00:00:00"/>
    <d v="2025-06-05T00:00:00"/>
    <d v="2025-06-05T00:00:00"/>
    <s v="Falta de formación"/>
    <s v="ES"/>
    <d v="2025-06-05T00:00:00"/>
    <s v="Sin retraso"/>
    <m/>
    <m/>
    <m/>
    <s v="N/A"/>
    <n v="3"/>
    <m/>
    <m/>
    <m/>
    <m/>
    <s v="Formación."/>
    <s v="Altim"/>
  </r>
  <r>
    <s v="MP-0126"/>
    <d v="2025-06-03T00:00:00"/>
    <m/>
    <s v="Lu WANG"/>
    <m/>
    <s v="Gestión"/>
    <x v="5"/>
    <x v="4"/>
    <s v="Sesión debate de como solucionar los 5 meses de mala contabilización. Objetivo tener balances fiables de los diferentes meses."/>
    <m/>
    <m/>
    <s v="Alta"/>
    <s v="Se va a proponer un plan de acción para el mes de Junio, con el fin de empezar a funcionar correctamente el 1/07/2025_x000a_11/06/2025 Se para en torno a la decisión de MP"/>
    <m/>
    <s v="ADM"/>
    <x v="1"/>
    <m/>
    <m/>
    <m/>
    <s v="Parado por que MP tiene que tomar una decisión"/>
    <s v="ES"/>
    <m/>
    <m/>
    <m/>
    <m/>
    <m/>
    <s v="N/A"/>
    <n v="3"/>
    <m/>
    <m/>
    <m/>
    <m/>
    <s v="Proced. MP"/>
    <s v="MP"/>
  </r>
  <r>
    <s v="MP-0127"/>
    <d v="2025-06-11T00:00:00"/>
    <m/>
    <s v="Liu Yalu"/>
    <m/>
    <s v="Evolutivo"/>
    <x v="1"/>
    <x v="4"/>
    <s v="Extraccion de unidades de media, conversion , peso y columnes"/>
    <m/>
    <m/>
    <s v="Alta"/>
    <s v="11/06/2025 Se revisa internamente para Extraccion de unidades de media, conversion , peso y columnes_x000a_18/06/2025 Sacados y enviados ficheros de materiales."/>
    <m/>
    <s v="LCC"/>
    <x v="0"/>
    <d v="2025-06-18T00:00:00"/>
    <d v="2025-06-05T00:00:00"/>
    <d v="2025-06-05T00:00:00"/>
    <m/>
    <s v="ES"/>
    <d v="2025-07-11T00:00:00"/>
    <m/>
    <m/>
    <m/>
    <m/>
    <s v="N/A"/>
    <n v="2"/>
    <m/>
    <m/>
    <m/>
    <m/>
    <s v="Calidad de Datos "/>
    <s v="Altim"/>
  </r>
  <r>
    <s v="MP-0128"/>
    <d v="2025-06-10T00:00:00"/>
    <m/>
    <s v="Susana"/>
    <m/>
    <s v="Consulta"/>
    <x v="0"/>
    <x v="4"/>
    <s v="Cliente Americano con domicilio permanente en España "/>
    <m/>
    <m/>
    <s v="Alta"/>
    <s v="10/06/2025 se analiza y se contesta marcando la directriz para realizar correctamente_x000a_11/06/2025 Se revisa y se evidencia para mandar al usuario"/>
    <m/>
    <s v="AHY"/>
    <x v="2"/>
    <m/>
    <m/>
    <m/>
    <m/>
    <s v="ES"/>
    <m/>
    <m/>
    <m/>
    <m/>
    <m/>
    <s v="N/A"/>
    <n v="3.5"/>
    <m/>
    <m/>
    <m/>
    <m/>
    <s v="Proced. MP"/>
    <s v="MP"/>
  </r>
  <r>
    <s v="MP-0129"/>
    <d v="2025-06-10T00:00:00"/>
    <m/>
    <s v="Susana"/>
    <m/>
    <s v="Consulta"/>
    <x v="0"/>
    <x v="4"/>
    <s v="ajustes en contabilidad "/>
    <m/>
    <m/>
    <s v="Media"/>
    <s v="10/06/2025 se analiza y se contesta para confirmar requerimiento"/>
    <m/>
    <s v="M.A"/>
    <x v="2"/>
    <m/>
    <m/>
    <m/>
    <m/>
    <s v="ES"/>
    <m/>
    <m/>
    <m/>
    <m/>
    <m/>
    <s v="N/A"/>
    <n v="0"/>
    <m/>
    <m/>
    <m/>
    <m/>
    <s v="Configuración y desarrollos. "/>
    <s v="MP"/>
  </r>
  <r>
    <s v="MP-0130"/>
    <d v="2025-05-19T00:00:00"/>
    <m/>
    <s v="Lu WANG"/>
    <m/>
    <s v="Formación"/>
    <x v="2"/>
    <x v="4"/>
    <s v="Fomación de arquitectura de sistemas de Private cloud S4 HANA"/>
    <m/>
    <m/>
    <s v="Media"/>
    <s v="19/05/2025 se imparte 1,5 horas de formación/"/>
    <s v="S4/hana"/>
    <s v="ADM"/>
    <x v="0"/>
    <d v="2025-05-30T00:00:00"/>
    <d v="2025-06-06T00:00:00"/>
    <d v="2025-06-06T00:00:00"/>
    <m/>
    <s v="ES"/>
    <d v="2025-05-30T00:00:00"/>
    <s v="Sin retraso"/>
    <m/>
    <m/>
    <m/>
    <s v="N/A"/>
    <n v="0"/>
    <m/>
    <m/>
    <s v="Realizado"/>
    <d v="1899-12-30T00:00:00"/>
    <s v="Proced. MP"/>
    <s v="Altim"/>
  </r>
  <r>
    <s v="MP-0131"/>
    <s v="09/06/2025"/>
    <m/>
    <s v="Liu CHANG"/>
    <m/>
    <s v="Petición"/>
    <x v="5"/>
    <x v="4"/>
    <s v="Plan para actualizar errores de sistema"/>
    <m/>
    <m/>
    <s v="Alta"/>
    <m/>
    <m/>
    <s v="ADM"/>
    <x v="1"/>
    <m/>
    <m/>
    <m/>
    <m/>
    <s v="ES"/>
    <m/>
    <m/>
    <m/>
    <m/>
    <m/>
    <s v="N/A"/>
    <n v="10"/>
    <m/>
    <m/>
    <m/>
    <m/>
    <s v="Proced. MP"/>
    <s v="MP"/>
  </r>
  <r>
    <s v="MP-0132"/>
    <d v="2025-06-17T00:00:00"/>
    <m/>
    <s v="Susana, Ana"/>
    <m/>
    <s v="Petición"/>
    <x v="0"/>
    <x v="4"/>
    <s v="Creacion de cuentas de mayor 40009000002"/>
    <m/>
    <m/>
    <s v="Crítica"/>
    <s v="Creacion de cuentas de mayor 40009000002"/>
    <m/>
    <s v="AHY"/>
    <x v="0"/>
    <d v="2025-06-17T00:00:00"/>
    <d v="2025-06-24T00:00:00"/>
    <d v="2025-06-24T00:00:00"/>
    <m/>
    <m/>
    <d v="2025-07-11T00:00:00"/>
    <m/>
    <m/>
    <m/>
    <m/>
    <s v="N/A"/>
    <n v="0"/>
    <m/>
    <m/>
    <m/>
    <m/>
    <s v="Proced. MP"/>
    <s v="Altim"/>
  </r>
  <r>
    <s v="MP-0133"/>
    <d v="2025-06-18T00:00:00"/>
    <m/>
    <s v="Lu WANG"/>
    <m/>
    <s v="Petición"/>
    <x v="3"/>
    <x v="4"/>
    <s v="Cuando un material tiene IVA 10%,_x000a_TTX1: 2_x000a_TES1: FALTA PARAMETRIZACIÓN"/>
    <m/>
    <m/>
    <s v="Alta"/>
    <s v="Cuando un material tiene IVA 10%,_x000a_TTX1: 2_x000a_TES1: FALTA PARAMETRIZACIÓN"/>
    <m/>
    <s v="RMB"/>
    <x v="6"/>
    <m/>
    <m/>
    <m/>
    <m/>
    <m/>
    <m/>
    <m/>
    <m/>
    <m/>
    <m/>
    <s v="N/A"/>
    <n v="2"/>
    <m/>
    <m/>
    <m/>
    <m/>
    <m/>
    <s v="MP"/>
  </r>
  <r>
    <s v="MP-0134"/>
    <d v="2025-06-19T00:00:00"/>
    <m/>
    <s v="Susana, Ana"/>
    <m/>
    <s v="Petición"/>
    <x v="0"/>
    <x v="4"/>
    <s v="nueva cuenta 52010-58"/>
    <m/>
    <m/>
    <s v="Alta"/>
    <s v="18/06/2025 nueva cuenta 52010-58 Se transporta el martes_x000a_24/06/2025 - transportado a PRD"/>
    <m/>
    <s v="AHY"/>
    <x v="0"/>
    <d v="2025-06-24T00:00:00"/>
    <d v="2025-06-24T00:00:00"/>
    <d v="2025-06-07T00:00:00"/>
    <m/>
    <m/>
    <d v="2025-07-11T00:00:00"/>
    <m/>
    <m/>
    <m/>
    <m/>
    <s v="N/A"/>
    <n v="2.5"/>
    <m/>
    <m/>
    <m/>
    <m/>
    <s v="Proced. MP"/>
    <s v="Altim"/>
  </r>
  <r>
    <s v="MP-0135"/>
    <d v="2025-06-19T00:00:00"/>
    <m/>
    <s v="Lu WANG"/>
    <m/>
    <s v="Petición"/>
    <x v="0"/>
    <x v="1"/>
    <s v="formación IT para sacar los datos llámalo (si quieres): Ayuda para elaborar Declaración de impuestos de NAV"/>
    <m/>
    <m/>
    <s v="Alta"/>
    <s v="formación IT para sacar los datos llámalo (si quieres): Ayuda para elaborar Declaración de impuestos de NAV"/>
    <m/>
    <s v="AHY"/>
    <x v="0"/>
    <d v="2025-06-24T00:00:00"/>
    <d v="2025-07-03T00:00:00"/>
    <d v="2025-06-07T00:00:00"/>
    <m/>
    <m/>
    <d v="2025-07-11T00:00:00"/>
    <m/>
    <m/>
    <m/>
    <m/>
    <s v="N/A"/>
    <n v="0"/>
    <m/>
    <m/>
    <m/>
    <m/>
    <s v="Proced. MP"/>
    <s v="Altim"/>
  </r>
  <r>
    <s v="MP-0136"/>
    <d v="2025-06-19T00:00:00"/>
    <m/>
    <s v="Susana"/>
    <m/>
    <s v="Petición"/>
    <x v="0"/>
    <x v="4"/>
    <s v="CUENTAS DE DIFERENCIAS DE CAMBIO "/>
    <m/>
    <m/>
    <s v="Alta"/>
    <s v="CUENTAS DE DIFERENCIAS DE CAMBIO "/>
    <m/>
    <s v="AHY"/>
    <x v="2"/>
    <m/>
    <m/>
    <m/>
    <m/>
    <m/>
    <m/>
    <m/>
    <m/>
    <m/>
    <m/>
    <s v="N/A"/>
    <n v="0"/>
    <m/>
    <m/>
    <m/>
    <m/>
    <s v="Configuración y desarrollos. "/>
    <s v="MP"/>
  </r>
  <r>
    <s v="MP-0137"/>
    <d v="2025-06-19T00:00:00"/>
    <m/>
    <s v="Susana"/>
    <m/>
    <s v="Petición"/>
    <x v="0"/>
    <x v="4"/>
    <s v="Tengo que contabilizar un anticipo a un proveedor y no sé como hacerlo."/>
    <m/>
    <m/>
    <s v="Alta"/>
    <s v="Tengo que contabilizar un anticipo a un proveedor y no sé como hacerlo._x000a_20/06/2025 - dadas las explicacioes y entendido por Susana."/>
    <m/>
    <s v="AHY"/>
    <x v="0"/>
    <d v="2025-06-20T00:00:00"/>
    <d v="2025-06-20T00:00:00"/>
    <d v="2025-06-07T00:00:00"/>
    <m/>
    <m/>
    <d v="2025-07-11T00:00:00"/>
    <m/>
    <m/>
    <m/>
    <m/>
    <s v="N/A"/>
    <n v="1"/>
    <m/>
    <m/>
    <m/>
    <m/>
    <s v="Proced. MP"/>
    <s v="Altim"/>
  </r>
  <r>
    <s v="MP-0138"/>
    <d v="2025-06-20T00:00:00"/>
    <m/>
    <s v="Lu WANG"/>
    <m/>
    <s v="Consulta"/>
    <x v="0"/>
    <x v="4"/>
    <s v="DARIO DO facturas EUR/EUR0"/>
    <m/>
    <m/>
    <s v="Baja"/>
    <s v="DIARIO DO facturas EUR/EUR0"/>
    <m/>
    <s v="AHY"/>
    <x v="2"/>
    <m/>
    <m/>
    <m/>
    <m/>
    <m/>
    <m/>
    <m/>
    <m/>
    <m/>
    <m/>
    <s v="N/A"/>
    <n v="1"/>
    <m/>
    <m/>
    <m/>
    <m/>
    <s v="Proced. MP"/>
    <s v="MP"/>
  </r>
  <r>
    <s v="MP-0139"/>
    <d v="2025-06-21T00:00:00"/>
    <m/>
    <s v="Susana"/>
    <m/>
    <s v="Incidencia"/>
    <x v="3"/>
    <x v="4"/>
    <s v="Errores del SII"/>
    <m/>
    <m/>
    <s v="Baja"/>
    <s v="Recordad a Ricardo"/>
    <m/>
    <s v="AHY"/>
    <x v="0"/>
    <d v="2025-06-24T00:00:00"/>
    <d v="2025-07-03T00:00:00"/>
    <d v="2025-06-07T00:00:00"/>
    <m/>
    <m/>
    <d v="2025-07-11T00:00:00"/>
    <m/>
    <m/>
    <m/>
    <m/>
    <s v="N/A"/>
    <n v="1"/>
    <m/>
    <m/>
    <m/>
    <m/>
    <s v="Proced. MP"/>
    <s v="Altim"/>
  </r>
  <r>
    <s v="MP-0140"/>
    <d v="2025-06-24T00:00:00"/>
    <m/>
    <s v="Ana"/>
    <m/>
    <s v="Petición"/>
    <x v="0"/>
    <x v="4"/>
    <s v="ALTA NUEVAS CUENTAS CONTABLES"/>
    <m/>
    <m/>
    <s v="Baja"/>
    <s v="25/06/2025 - se procede a la creación de las cuentas"/>
    <m/>
    <s v="AHY"/>
    <x v="0"/>
    <d v="2025-06-26T00:00:00"/>
    <d v="2025-07-01T00:00:00"/>
    <m/>
    <m/>
    <m/>
    <d v="2025-07-11T00:00:00"/>
    <m/>
    <m/>
    <m/>
    <m/>
    <s v="N/A"/>
    <n v="0"/>
    <m/>
    <m/>
    <m/>
    <m/>
    <s v="Proced. MP"/>
    <s v="Altim"/>
  </r>
  <r>
    <s v="MP-0141"/>
    <s v="25/06/205"/>
    <m/>
    <s v="Lu WANG"/>
    <m/>
    <s v="Petición"/>
    <x v="0"/>
    <x v="4"/>
    <s v="Declaración de impuestos sobre ventas/compras (libros de IvA que no emite Navisión) Petición por IT"/>
    <m/>
    <m/>
    <s v="Alta"/>
    <s v="25/06/2025 - Se procede al análisis de los ficheros"/>
    <m/>
    <s v="M.A"/>
    <x v="2"/>
    <m/>
    <m/>
    <m/>
    <m/>
    <m/>
    <m/>
    <m/>
    <m/>
    <m/>
    <m/>
    <s v="N/A"/>
    <n v="15.5"/>
    <m/>
    <m/>
    <m/>
    <m/>
    <s v="Análisis y Diseño funcional "/>
    <s v="MP"/>
  </r>
  <r>
    <s v="MP-0142"/>
    <s v="27/06/205"/>
    <m/>
    <s v="Liu Yalu"/>
    <m/>
    <s v="Petición"/>
    <x v="1"/>
    <x v="4"/>
    <s v="Condicion de precios en compras para los descuentos"/>
    <m/>
    <m/>
    <s v="Sin prioridad"/>
    <s v="Condicion de precios en compras para los descuentos"/>
    <m/>
    <s v="LCC"/>
    <x v="5"/>
    <d v="2025-07-01T00:00:00"/>
    <d v="2025-07-08T00:00:00"/>
    <d v="2025-07-08T00:00:00"/>
    <m/>
    <m/>
    <m/>
    <m/>
    <m/>
    <m/>
    <m/>
    <s v="N/A"/>
    <n v="6"/>
    <m/>
    <m/>
    <m/>
    <m/>
    <s v="Configuración y desarrollos. "/>
    <s v="Altim"/>
  </r>
  <r>
    <s v="MP-0143"/>
    <s v="27/06/205"/>
    <m/>
    <s v="Liu Yalu"/>
    <m/>
    <s v="Petición"/>
    <x v="3"/>
    <x v="4"/>
    <s v="Hemos detectado un error en el PDF generado para facturas de tipo G2."/>
    <m/>
    <m/>
    <s v="Sin prioridad"/>
    <s v="Hemos detectado un error en el PDF generado para facturas de tipo G2."/>
    <m/>
    <s v="M.A"/>
    <x v="7"/>
    <d v="2025-07-14T00:00:00"/>
    <d v="2025-07-21T00:00:00"/>
    <d v="2025-07-21T00:00:00"/>
    <m/>
    <m/>
    <m/>
    <m/>
    <m/>
    <m/>
    <m/>
    <s v="N/A"/>
    <n v="11"/>
    <m/>
    <m/>
    <m/>
    <m/>
    <s v="Configuración y desarrollos. "/>
    <s v="MP"/>
  </r>
  <r>
    <s v="MP-0144"/>
    <s v="27/06/205"/>
    <m/>
    <s v="Ana"/>
    <m/>
    <s v="Petición"/>
    <x v="0"/>
    <x v="4"/>
    <s v="Verificar un PYG y un balance"/>
    <m/>
    <m/>
    <s v="Sin prioridad"/>
    <s v="Verificar un PYG y un balance"/>
    <m/>
    <s v="M.A"/>
    <x v="2"/>
    <m/>
    <m/>
    <m/>
    <m/>
    <m/>
    <m/>
    <m/>
    <m/>
    <m/>
    <m/>
    <s v="N/A"/>
    <n v="2"/>
    <m/>
    <m/>
    <m/>
    <m/>
    <s v="Configuración y desarrollos. "/>
    <s v="MP"/>
  </r>
  <r>
    <s v="MP-0145"/>
    <s v="27/06/205"/>
    <m/>
    <s v="Ana"/>
    <m/>
    <s v="Petición"/>
    <x v="0"/>
    <x v="4"/>
    <s v="Verificar el email las 12 cuentas. ALTA NUEVAS CUENTAS CONTABLES"/>
    <m/>
    <m/>
    <s v="Sin prioridad"/>
    <s v="Verificar el email las 12 cuentas. ALTA NUEVAS CUENTAS CONTABLES"/>
    <m/>
    <s v="AHY"/>
    <x v="5"/>
    <m/>
    <m/>
    <m/>
    <m/>
    <m/>
    <m/>
    <m/>
    <m/>
    <m/>
    <m/>
    <s v="N/A"/>
    <n v="0.5"/>
    <m/>
    <m/>
    <m/>
    <m/>
    <s v="Configuración y desarrollos. "/>
    <s v="Altim"/>
  </r>
  <r>
    <s v="MP-0146"/>
    <s v="27/06/205"/>
    <m/>
    <s v="Luna"/>
    <m/>
    <s v="Petición"/>
    <x v="3"/>
    <x v="4"/>
    <s v="NOTA DE CREDITO con numeración automática."/>
    <m/>
    <m/>
    <s v="Sin prioridad"/>
    <s v="NOTA DE CREDITO con numeración automática."/>
    <m/>
    <s v="M.A"/>
    <x v="2"/>
    <m/>
    <m/>
    <m/>
    <m/>
    <m/>
    <m/>
    <m/>
    <m/>
    <m/>
    <m/>
    <s v="N/A"/>
    <n v="2"/>
    <m/>
    <m/>
    <m/>
    <m/>
    <s v="Análisis y Diseño funcional "/>
    <s v="MP"/>
  </r>
  <r>
    <s v="MP-0147"/>
    <s v="27/06/206"/>
    <m/>
    <s v="Isabel"/>
    <m/>
    <s v="Petición"/>
    <x v="0"/>
    <x v="4"/>
    <s v="Bloquear cuentas 7010000001 Venta prod. term._x000a_7010000002 VTAS. prod. UE_x000a_7010000003 VTAS. prod. inter_x000a_7010000004 VTAS. prod. Can-CEU_x000a_7010000005 Ven pr. term emp gr"/>
    <m/>
    <m/>
    <s v="Sin prioridad"/>
    <s v="Bloquear cuentas 7010000001 Venta prod. term._x000a_7010000002 VTAS. prod. UE_x000a_7010000003 VTAS. prod. inter_x000a_7010000004 VTAS. prod. Can-CEU_x000a_7010000005 Ven pr. term emp gr"/>
    <m/>
    <s v="M.A"/>
    <x v="0"/>
    <d v="2025-07-01T00:00:00"/>
    <d v="2025-07-01T00:00:00"/>
    <d v="2025-07-01T00:00:00"/>
    <m/>
    <m/>
    <d v="2025-07-11T00:00:00"/>
    <m/>
    <m/>
    <m/>
    <m/>
    <s v="N/A"/>
    <n v="0"/>
    <m/>
    <s v="ZTBK901896"/>
    <m/>
    <m/>
    <s v="Proced. MP"/>
    <s v="Altim"/>
  </r>
  <r>
    <s v="MP-0148"/>
    <s v="30/06/207"/>
    <m/>
    <s v="Isabel"/>
    <m/>
    <s v="Petición"/>
    <x v="0"/>
    <x v="4"/>
    <s v="El cliente 10017657 no puede ser debitado correctamente, ya que al subir el fichero al banco. Adjunto en este correo tanto el mensaje de error recibido por parte del banco como el fichero(T264) que ha sido rechazado, para su revisión._x000a__x000a_Agradezco de antemano su atención a estos casos y quedo atento a cualquier indicación o solución que puedan ofrecer._x000a__x000a_Un saludo,"/>
    <m/>
    <m/>
    <s v="Sin prioridad"/>
    <s v="El cliente 10017657 no puede ser debitado correctamente, ya que al subir el fichero al banco. Adjunto en este correo tanto el mensaje de error recibido por parte del banco como el fichero(T264) que ha sido rechazado, para su revisión._x000a__x000a_Agradezco de antemano su atención a estos casos y quedo atento a cualquier indicación o solución que puedan ofrecer._x000a__x000a_Un saludo,"/>
    <m/>
    <s v="AHY"/>
    <x v="0"/>
    <d v="2025-07-02T00:00:00"/>
    <d v="2025-07-02T00:00:00"/>
    <d v="2025-07-02T00:00:00"/>
    <m/>
    <m/>
    <d v="2025-07-02T00:00:00"/>
    <m/>
    <m/>
    <m/>
    <m/>
    <s v="N/A"/>
    <n v="0.5"/>
    <m/>
    <m/>
    <m/>
    <m/>
    <s v="Proced. MP"/>
    <s v="Altim"/>
  </r>
  <r>
    <s v="MP-0149"/>
    <d v="2025-07-02T00:00:00"/>
    <m/>
    <s v="Lu WANG"/>
    <m/>
    <s v="Petición"/>
    <x v="0"/>
    <x v="4"/>
    <s v="Periodod logísitcos apertura - Crear JOB"/>
    <m/>
    <m/>
    <s v="Media"/>
    <m/>
    <m/>
    <s v="LCC"/>
    <x v="0"/>
    <d v="2025-07-01T00:00:00"/>
    <d v="2025-07-01T00:00:00"/>
    <d v="2025-07-01T00:00:00"/>
    <m/>
    <m/>
    <d v="2025-07-01T00:00:00"/>
    <m/>
    <m/>
    <m/>
    <m/>
    <s v="N/A"/>
    <n v="0"/>
    <m/>
    <m/>
    <m/>
    <m/>
    <s v="Configuración y desarrollos. "/>
    <s v="Altim"/>
  </r>
  <r>
    <s v="MP-0150"/>
    <d v="2025-07-02T00:00:00"/>
    <m/>
    <s v="Lu WANG"/>
    <m/>
    <s v="Petición"/>
    <x v="0"/>
    <x v="4"/>
    <s v="creación de cuentas de mayor de IBANFirst, y que la incidencia de EBURY nos vuelva a nuestro tejado para poder imputar:_x000a_Voy a crear el banco para EBURY y luego crear las cuentas de mayor asociadas a este banco (Modificar MP-0086 en nuestro tejado)_x000a_Tengo que crear 12 cuentas de mayor para IBANFIRST y modificar el dato maestro del banco para que apunte a las cuentas de mayor que voy a crear ahora (crear ticket nuevo o meter las modificaciones en ticket existente de creación de ctas de mayor)"/>
    <m/>
    <m/>
    <s v="Sin prioridad"/>
    <s v="creación de cuentas de mayor de IBANFirst, y que la incidencia de EBURY nos vuelva a nuestro tejado para poder imputar:_x000a_Voy a crear el banco para EBURY y luego crear las cuentas de mayor asociadas a este banco (Modificar MP-0086 en nuestro tejado)_x000a_Tengo que crear 12 cuentas de mayor para IBANFIRST y modificar el dato maestro del banco para que apunte a las cuentas de mayor que voy a crear ahora (crear ticket nuevo o meter las modificaciones en ticket existente de creación de ctas de mayor)"/>
    <m/>
    <s v="LJS"/>
    <x v="0"/>
    <d v="2025-07-01T00:00:00"/>
    <d v="2025-07-01T00:00:00"/>
    <d v="2025-07-01T00:00:00"/>
    <m/>
    <m/>
    <d v="2025-07-01T00:00:00"/>
    <m/>
    <m/>
    <m/>
    <m/>
    <s v="N/A"/>
    <n v="0"/>
    <m/>
    <m/>
    <m/>
    <m/>
    <s v="Configuración y desarrollos. "/>
    <s v="Altim"/>
  </r>
  <r>
    <s v="MP-0151"/>
    <d v="2025-07-02T00:00:00"/>
    <m/>
    <s v="Lu WANG"/>
    <m/>
    <s v="Petición"/>
    <x v="0"/>
    <x v="4"/>
    <s v="Factura rectificativa subida al SII, Siguiendo el ejemplo abajo, tenemos otro caso La factura rectificativa 90016889 aparece errónea en el SII con el número de la factura que rectifica ES25019417._x000a_No debe subir al SII numero factura venta, cuando estamos emitiendo una factura rectificativa."/>
    <m/>
    <m/>
    <s v="Crítica"/>
    <s v="Factura rectificativa subida al SII, Siguiendo el ejemplo abajo, tenemos otro caso La factura rectificativa 90016889 aparece errónea en el SII con el número de la factura que rectifica ES25019417._x000a_No debe subir al SII numero factura venta, cuando estamos emitiendo una factura rectificativa."/>
    <m/>
    <s v="AHY"/>
    <x v="0"/>
    <d v="2025-07-13T00:00:00"/>
    <d v="2025-07-13T00:00:00"/>
    <d v="2025-07-13T00:00:00"/>
    <m/>
    <m/>
    <d v="2025-07-10T00:00:00"/>
    <m/>
    <m/>
    <m/>
    <m/>
    <s v="N/A"/>
    <n v="0"/>
    <m/>
    <m/>
    <m/>
    <m/>
    <s v="Proced. MP"/>
    <s v="Altim"/>
  </r>
  <r>
    <s v="MP-0152"/>
    <d v="2025-05-07T00:00:00"/>
    <m/>
    <s v="Liu Yalu"/>
    <m/>
    <s v="Petición"/>
    <x v="1"/>
    <x v="4"/>
    <s v="CÓMO AÑADIR COSTE DE MANO DE OBRA"/>
    <m/>
    <m/>
    <s v="Alta"/>
    <s v="CÓMO AÑADIR COSTE DE MANO DE OBRA"/>
    <m/>
    <s v="LCC"/>
    <x v="7"/>
    <d v="2025-07-13T00:00:00"/>
    <d v="2025-07-13T00:00:00"/>
    <d v="2025-07-13T00:00:00"/>
    <m/>
    <m/>
    <m/>
    <m/>
    <m/>
    <m/>
    <m/>
    <s v="N/A"/>
    <n v="0"/>
    <m/>
    <m/>
    <m/>
    <m/>
    <s v="Formación."/>
    <s v="MP"/>
  </r>
  <r>
    <s v="MP-0153"/>
    <d v="2025-05-09T00:00:00"/>
    <m/>
    <s v="Liu Yalu"/>
    <m/>
    <s v="Petición"/>
    <x v="1"/>
    <x v="4"/>
    <s v="Solicitud de ayuda con error al realizar compensar pago para el cliente 10021163"/>
    <m/>
    <m/>
    <s v="Alta"/>
    <s v="CÓMO AÑADIR COSTE DE MANO DE OBRA"/>
    <m/>
    <s v="LCC"/>
    <x v="0"/>
    <d v="2025-07-13T00:00:00"/>
    <d v="2025-07-13T00:00:00"/>
    <d v="2025-07-13T00:00:00"/>
    <m/>
    <m/>
    <d v="2025-07-10T00:00:00"/>
    <m/>
    <m/>
    <m/>
    <m/>
    <s v="N/A"/>
    <n v="0"/>
    <m/>
    <m/>
    <m/>
    <m/>
    <s v="Proced. MP"/>
    <s v="Altim"/>
  </r>
  <r>
    <s v="MP-0154"/>
    <d v="2025-05-09T00:00:00"/>
    <m/>
    <s v="Liu Yalu"/>
    <m/>
    <s v="Petición"/>
    <x v="1"/>
    <x v="4"/>
    <s v="Creación de cuentas y desasignación de cuentas"/>
    <m/>
    <m/>
    <s v="Crítica"/>
    <s v="Creación de cuentas y desasignación de cuentas"/>
    <m/>
    <s v="M.A"/>
    <x v="0"/>
    <d v="2025-07-13T00:00:00"/>
    <d v="2025-07-13T00:00:00"/>
    <d v="2025-07-13T00:00:00"/>
    <m/>
    <m/>
    <d v="2025-07-10T00:00:00"/>
    <m/>
    <m/>
    <m/>
    <m/>
    <s v="N/A"/>
    <n v="0"/>
    <m/>
    <m/>
    <m/>
    <m/>
    <s v="Configuración y desarrollos. "/>
    <s v="Altim"/>
  </r>
  <r>
    <s v="MP-0155"/>
    <d v="2025-05-09T00:00:00"/>
    <m/>
    <s v="Liu Yalu"/>
    <m/>
    <s v="Petición"/>
    <x v="1"/>
    <x v="4"/>
    <s v="Problema sobre el campo ZCRM"/>
    <m/>
    <m/>
    <s v="Alta"/>
    <s v="Problema sobre el campo ZCRM"/>
    <m/>
    <s v="M.A"/>
    <x v="5"/>
    <d v="2025-07-13T00:00:00"/>
    <d v="2025-07-13T00:00:00"/>
    <d v="2025-07-13T00:00:00"/>
    <m/>
    <m/>
    <m/>
    <m/>
    <m/>
    <m/>
    <m/>
    <s v="N/A"/>
    <n v="0"/>
    <m/>
    <m/>
    <m/>
    <m/>
    <s v="Configuración y desarrollos. "/>
    <s v="Altim"/>
  </r>
  <r>
    <s v="MP-0156"/>
    <d v="2025-05-09T00:00:00"/>
    <m/>
    <s v="Liu Yalu"/>
    <m/>
    <s v="Petición"/>
    <x v="1"/>
    <x v="4"/>
    <s v="MP- autonomo tiene retención"/>
    <m/>
    <m/>
    <s v="Alta"/>
    <s v="MP- autonomo tiene retención"/>
    <m/>
    <s v="M.A"/>
    <x v="0"/>
    <d v="2025-07-13T00:00:00"/>
    <d v="2025-07-13T00:00:00"/>
    <d v="2025-07-13T00:00:00"/>
    <m/>
    <m/>
    <d v="2025-07-10T00:00:00"/>
    <m/>
    <m/>
    <m/>
    <m/>
    <s v="N/A"/>
    <n v="0"/>
    <m/>
    <m/>
    <m/>
    <m/>
    <s v="Proced. MP"/>
    <s v="Altim"/>
  </r>
  <r>
    <s v="MP-0157"/>
    <d v="2025-07-11T00:00:00"/>
    <m/>
    <s v="Lu WANG"/>
    <m/>
    <s v="Formación"/>
    <x v="5"/>
    <x v="4"/>
    <s v="Formación TODO"/>
    <m/>
    <m/>
    <s v="Alta"/>
    <s v="Formación TODO"/>
    <m/>
    <s v="M.A"/>
    <x v="0"/>
    <d v="2025-07-11T00:00:00"/>
    <d v="2025-07-11T00:00:00"/>
    <d v="2025-07-07T00:00:00"/>
    <m/>
    <m/>
    <d v="2025-07-11T00:00:00"/>
    <m/>
    <m/>
    <m/>
    <m/>
    <s v="N/A"/>
    <n v="0"/>
    <m/>
    <m/>
    <m/>
    <m/>
    <s v="Formación."/>
    <s v="Altim"/>
  </r>
  <r>
    <s v="MP-0000"/>
    <d v="2025-05-07T00:00:00"/>
    <m/>
    <s v="Lu WANG"/>
    <m/>
    <s v="Gestión"/>
    <x v="5"/>
    <x v="4"/>
    <s v="Gestion del proyecto_x000a_7010000001 Venta prod. term._x000a_7010000002 VTAS. prod. UE_x000a_7010000003 VTAS. prod. inter_x000a_7010000004 VTAS. prod. Can-CEU_x000a_7010000005 Ven pr. term emp gr_x000a_7000000005 (Ventas merc emp grup)"/>
    <m/>
    <m/>
    <s v="Alta"/>
    <s v="12/05/2025 Comité seguimiento._x000a_16/06/2025 Definición de procesos._x000a_                      Gestion de recursos._x000a_                      Gestion de Carpetas._x000a_19/05/2025 Reunión y realizacion de Acta_x000a_26/05/2025 Gestion interna/_x000a_27/05/2025 Comité de seguimiento y acta 2h_x000a_28/05/2025 Confirmción de consultor de ventas._x000a_30/05/2025 Mandada la presencialidad y dedicación_x000a_05/06/2025 Revisión de incidencias Cerradas_x000a_05/06/2025 Confirmacion de procesos financieros_x000a_11/06/2025 Revisión de incidencias 3h"/>
    <s v="S4/hana"/>
    <s v="ADM"/>
    <x v="0"/>
    <d v="2025-12-31T00:00:00"/>
    <d v="2025-06-14T00:00:00"/>
    <d v="2025-06-07T00:00:00"/>
    <m/>
    <s v="ES"/>
    <d v="2025-07-10T00:00:00"/>
    <s v="Sin retraso"/>
    <m/>
    <m/>
    <m/>
    <s v="N/A"/>
    <n v="145.5"/>
    <m/>
    <m/>
    <m/>
    <m/>
    <s v="Proced. MP"/>
    <s v="Alti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r>
    <m/>
    <m/>
    <m/>
    <m/>
    <m/>
    <x v="0"/>
    <m/>
    <x v="0"/>
    <m/>
    <m/>
    <m/>
    <m/>
    <m/>
    <m/>
    <m/>
    <x v="0"/>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r>
    <m/>
    <m/>
    <m/>
    <m/>
    <x v="0"/>
    <m/>
    <m/>
    <m/>
    <m/>
    <m/>
    <m/>
    <x v="0"/>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r>
    <x v="0"/>
    <m/>
    <m/>
    <m/>
    <x v="0"/>
    <m/>
    <m/>
    <m/>
    <m/>
    <m/>
    <m/>
    <x v="0"/>
    <m/>
    <m/>
    <x v="0"/>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191775-712D-4803-B573-12FCFFB587F6}" name="TablaDinámica12" cacheId="4" applyNumberFormats="0" applyBorderFormats="0" applyFontFormats="0" applyPatternFormats="0" applyAlignmentFormats="0" applyWidthHeightFormats="1" dataCaption="Valores" updatedVersion="8" minRefreshableVersion="3" useAutoFormatting="1" rowGrandTotals="0" colGrandTotals="0" itemPrintTitles="1" createdVersion="7" indent="0" compact="0" compactData="0" multipleFieldFilters="0">
  <location ref="A5:C6" firstHeaderRow="1" firstDataRow="1" firstDataCol="3" rowPageCount="1" colPageCount="1"/>
  <pivotFields count="22">
    <pivotField axis="axisRow" compact="0" outline="0" showAll="0" defaultSubtotal="0">
      <items count="329">
        <item m="1" x="196"/>
        <item m="1" x="90"/>
        <item m="1" x="202"/>
        <item m="1" x="314"/>
        <item m="1" x="42"/>
        <item m="1" x="96"/>
        <item m="1" x="149"/>
        <item m="1" x="207"/>
        <item m="1" x="236"/>
        <item m="1" x="264"/>
        <item m="1" x="291"/>
        <item m="1" x="318"/>
        <item m="1" x="19"/>
        <item m="1" x="47"/>
        <item m="1" x="72"/>
        <item m="1" x="100"/>
        <item m="1" x="113"/>
        <item m="1" x="126"/>
        <item m="1" x="140"/>
        <item m="1" x="153"/>
        <item m="1" x="168"/>
        <item m="1" x="182"/>
        <item m="1" x="197"/>
        <item m="1" x="213"/>
        <item m="1" x="226"/>
        <item m="1" x="242"/>
        <item m="1" x="256"/>
        <item m="1" x="270"/>
        <item m="1" x="283"/>
        <item m="1" x="297"/>
        <item m="1" x="309"/>
        <item m="1" x="324"/>
        <item m="1" x="163"/>
        <item m="1" x="10"/>
        <item m="1" x="177"/>
        <item m="1" x="24"/>
        <item m="1" x="191"/>
        <item m="1" x="37"/>
        <item m="1" x="208"/>
        <item m="1" x="52"/>
        <item m="1" x="222"/>
        <item m="1" x="64"/>
        <item m="1" x="237"/>
        <item m="1" x="77"/>
        <item m="1" x="251"/>
        <item m="1" x="91"/>
        <item m="1" x="265"/>
        <item m="1" x="105"/>
        <item m="1" x="278"/>
        <item m="1" x="118"/>
        <item m="1" x="292"/>
        <item m="1" x="131"/>
        <item m="1" x="304"/>
        <item m="1" x="144"/>
        <item m="1" x="319"/>
        <item m="1" x="158"/>
        <item m="1" x="5"/>
        <item m="1" x="173"/>
        <item m="1" x="20"/>
        <item m="1" x="187"/>
        <item m="1" x="33"/>
        <item m="1" x="203"/>
        <item m="1" x="48"/>
        <item m="1" x="218"/>
        <item m="1" x="136"/>
        <item m="1" x="60"/>
        <item m="1" x="310"/>
        <item m="1" x="231"/>
        <item m="1" x="150"/>
        <item m="1" x="73"/>
        <item m="1" x="325"/>
        <item m="1" x="247"/>
        <item m="1" x="164"/>
        <item m="1" x="86"/>
        <item m="1" x="11"/>
        <item m="1" x="260"/>
        <item m="1" x="178"/>
        <item m="1" x="101"/>
        <item m="1" x="25"/>
        <item m="1" x="274"/>
        <item m="1" x="192"/>
        <item m="1" x="114"/>
        <item m="1" x="38"/>
        <item m="1" x="287"/>
        <item m="1" x="209"/>
        <item m="1" x="127"/>
        <item m="1" x="53"/>
        <item m="1" x="301"/>
        <item m="1" x="223"/>
        <item m="1" x="141"/>
        <item m="1" x="65"/>
        <item m="1" x="315"/>
        <item m="1" x="238"/>
        <item m="1" x="154"/>
        <item m="1" x="78"/>
        <item m="1" x="1"/>
        <item m="1" x="252"/>
        <item m="1" x="169"/>
        <item m="1" x="92"/>
        <item m="1" x="15"/>
        <item m="1" x="266"/>
        <item m="1" x="183"/>
        <item m="1" x="106"/>
        <item m="1" x="29"/>
        <item m="1" x="279"/>
        <item m="1" x="198"/>
        <item m="1" x="119"/>
        <item m="1" x="43"/>
        <item m="1" x="293"/>
        <item m="1" x="214"/>
        <item m="1" x="132"/>
        <item m="1" x="56"/>
        <item m="1" x="305"/>
        <item m="1" x="227"/>
        <item m="1" x="145"/>
        <item m="1" x="68"/>
        <item m="1" x="320"/>
        <item m="1" x="243"/>
        <item m="1" x="159"/>
        <item m="1" x="82"/>
        <item m="1" x="6"/>
        <item m="1" x="257"/>
        <item m="1" x="174"/>
        <item m="1" x="97"/>
        <item m="1" x="21"/>
        <item m="1" x="271"/>
        <item m="1" x="188"/>
        <item m="1" x="110"/>
        <item m="1" x="239"/>
        <item m="1" x="34"/>
        <item m="1" x="155"/>
        <item m="1" x="284"/>
        <item m="1" x="79"/>
        <item m="1" x="204"/>
        <item m="1" x="2"/>
        <item m="1" x="123"/>
        <item m="1" x="253"/>
        <item m="1" x="49"/>
        <item m="1" x="170"/>
        <item m="1" x="298"/>
        <item m="1" x="93"/>
        <item m="1" x="219"/>
        <item m="1" x="16"/>
        <item m="1" x="137"/>
        <item m="1" x="267"/>
        <item m="1" x="61"/>
        <item m="1" x="184"/>
        <item m="1" x="311"/>
        <item m="1" x="107"/>
        <item m="1" x="232"/>
        <item m="1" x="30"/>
        <item m="1" x="280"/>
        <item m="1" x="74"/>
        <item m="1" x="199"/>
        <item m="1" x="326"/>
        <item m="1" x="120"/>
        <item m="1" x="248"/>
        <item m="1" x="44"/>
        <item m="1" x="165"/>
        <item m="1" x="294"/>
        <item m="1" x="87"/>
        <item m="1" x="215"/>
        <item m="1" x="12"/>
        <item m="1" x="133"/>
        <item m="1" x="261"/>
        <item m="1" x="57"/>
        <item m="1" x="179"/>
        <item m="1" x="306"/>
        <item m="1" x="102"/>
        <item m="1" x="228"/>
        <item m="1" x="26"/>
        <item m="1" x="146"/>
        <item m="1" x="275"/>
        <item m="1" x="69"/>
        <item m="1" x="193"/>
        <item m="1" x="321"/>
        <item m="1" x="115"/>
        <item m="1" x="244"/>
        <item m="1" x="39"/>
        <item m="1" x="160"/>
        <item m="1" x="288"/>
        <item m="1" x="83"/>
        <item m="1" x="210"/>
        <item m="1" x="7"/>
        <item m="1" x="128"/>
        <item m="1" x="258"/>
        <item m="1" x="54"/>
        <item m="1" x="175"/>
        <item m="1" x="302"/>
        <item m="1" x="98"/>
        <item m="1" x="224"/>
        <item m="1" x="22"/>
        <item m="1" x="142"/>
        <item m="1" x="272"/>
        <item m="1" x="66"/>
        <item m="1" x="189"/>
        <item m="1" x="316"/>
        <item m="1" x="111"/>
        <item m="1" x="240"/>
        <item m="1" x="35"/>
        <item m="1" x="156"/>
        <item m="1" x="285"/>
        <item m="1" x="80"/>
        <item m="1" x="205"/>
        <item m="1" x="3"/>
        <item m="1" x="124"/>
        <item m="1" x="254"/>
        <item m="1" x="50"/>
        <item m="1" x="171"/>
        <item m="1" x="299"/>
        <item m="1" x="94"/>
        <item m="1" x="220"/>
        <item m="1" x="17"/>
        <item m="1" x="138"/>
        <item m="1" x="268"/>
        <item m="1" x="62"/>
        <item m="1" x="185"/>
        <item m="1" x="312"/>
        <item m="1" x="108"/>
        <item m="1" x="233"/>
        <item m="1" x="31"/>
        <item m="1" x="151"/>
        <item m="1" x="281"/>
        <item m="1" x="75"/>
        <item m="1" x="200"/>
        <item m="1" x="327"/>
        <item m="1" x="121"/>
        <item m="1" x="249"/>
        <item m="1" x="45"/>
        <item m="1" x="166"/>
        <item m="1" x="295"/>
        <item m="1" x="88"/>
        <item m="1" x="216"/>
        <item m="1" x="13"/>
        <item m="1" x="134"/>
        <item m="1" x="262"/>
        <item m="1" x="58"/>
        <item m="1" x="180"/>
        <item m="1" x="307"/>
        <item m="1" x="103"/>
        <item m="1" x="229"/>
        <item m="1" x="27"/>
        <item m="1" x="147"/>
        <item m="1" x="276"/>
        <item m="1" x="70"/>
        <item m="1" x="194"/>
        <item m="1" x="322"/>
        <item m="1" x="116"/>
        <item m="1" x="245"/>
        <item m="1" x="40"/>
        <item m="1" x="161"/>
        <item m="1" x="289"/>
        <item m="1" x="84"/>
        <item m="1" x="211"/>
        <item m="1" x="8"/>
        <item m="1" x="234"/>
        <item m="1" x="129"/>
        <item m="1" x="32"/>
        <item m="1" x="259"/>
        <item m="1" x="152"/>
        <item m="1" x="55"/>
        <item m="1" x="282"/>
        <item m="1" x="176"/>
        <item m="1" x="76"/>
        <item m="1" x="303"/>
        <item m="1" x="201"/>
        <item m="1" x="99"/>
        <item m="1" x="328"/>
        <item m="1" x="225"/>
        <item m="1" x="122"/>
        <item m="1" x="23"/>
        <item m="1" x="250"/>
        <item m="1" x="143"/>
        <item m="1" x="46"/>
        <item m="1" x="273"/>
        <item m="1" x="167"/>
        <item m="1" x="67"/>
        <item m="1" x="296"/>
        <item m="1" x="190"/>
        <item m="1" x="89"/>
        <item m="1" x="317"/>
        <item m="1" x="217"/>
        <item m="1" x="112"/>
        <item m="1" x="14"/>
        <item m="1" x="241"/>
        <item m="1" x="135"/>
        <item m="1" x="36"/>
        <item m="1" x="263"/>
        <item m="1" x="157"/>
        <item m="1" x="59"/>
        <item m="1" x="286"/>
        <item m="1" x="181"/>
        <item m="1" x="81"/>
        <item m="1" x="308"/>
        <item m="1" x="206"/>
        <item m="1" x="104"/>
        <item m="1" x="4"/>
        <item m="1" x="230"/>
        <item m="1" x="125"/>
        <item m="1" x="28"/>
        <item m="1" x="255"/>
        <item m="1" x="148"/>
        <item m="1" x="51"/>
        <item m="1" x="277"/>
        <item m="1" x="172"/>
        <item m="1" x="71"/>
        <item m="1" x="300"/>
        <item m="1" x="195"/>
        <item m="1" x="95"/>
        <item m="1" x="323"/>
        <item m="1" x="221"/>
        <item m="1" x="117"/>
        <item m="1" x="18"/>
        <item m="1" x="246"/>
        <item m="1" x="139"/>
        <item m="1" x="41"/>
        <item m="1" x="269"/>
        <item m="1" x="162"/>
        <item m="1" x="63"/>
        <item m="1" x="290"/>
        <item m="1" x="186"/>
        <item m="1" x="85"/>
        <item m="1" x="313"/>
        <item m="1" x="212"/>
        <item m="1" x="109"/>
        <item m="1" x="9"/>
        <item m="1" x="235"/>
        <item m="1" x="130"/>
        <item x="0"/>
      </items>
    </pivotField>
    <pivotField compact="0" outline="0" subtotalTop="0" showAll="0" defaultSubtotal="0"/>
    <pivotField compact="0" outline="0" subtotalTop="0" showAll="0" defaultSubtotal="0"/>
    <pivotField compact="0" outline="0" subtotalTop="0" showAll="0" defaultSubtotal="0"/>
    <pivotField axis="axisPage" compact="0" outline="0" multipleItemSelectionAllowed="1" showAll="0" defaultSubtotal="0">
      <items count="6">
        <item m="1" x="4"/>
        <item m="1" x="1"/>
        <item h="1" m="1" x="5"/>
        <item m="1" x="3"/>
        <item x="0"/>
        <item h="1" m="1" x="2"/>
      </items>
    </pivotField>
    <pivotField compact="0" outline="0" subtotalTop="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
        <item x="0"/>
        <item m="1" x="10"/>
        <item m="1" x="11"/>
        <item m="1" x="12"/>
        <item m="1" x="13"/>
        <item m="1" x="14"/>
        <item m="1" x="1"/>
        <item m="1" x="3"/>
        <item m="1" x="4"/>
        <item m="1" x="2"/>
        <item m="1" x="7"/>
        <item m="1" x="9"/>
        <item m="1" x="8"/>
        <item m="1" x="5"/>
        <item m="1" x="6"/>
      </items>
    </pivotField>
    <pivotField axis="axisRow" compact="0" outline="0" subtotalTop="0" showAll="0" defaultSubtotal="0">
      <items count="25">
        <item x="0"/>
        <item m="1" x="16"/>
        <item m="1" x="19"/>
        <item m="1" x="24"/>
        <item m="1" x="15"/>
        <item m="1" x="21"/>
        <item m="1" x="23"/>
        <item m="1" x="13"/>
        <item m="1" x="12"/>
        <item m="1" x="22"/>
        <item m="1" x="17"/>
        <item m="1" x="14"/>
        <item m="1" x="18"/>
        <item m="1" x="20"/>
        <item m="1" x="6"/>
        <item m="1" x="2"/>
        <item m="1" x="1"/>
        <item m="1" x="8"/>
        <item m="1" x="3"/>
        <item m="1" x="4"/>
        <item m="1" x="9"/>
        <item m="1" x="7"/>
        <item m="1" x="11"/>
        <item m="1" x="5"/>
        <item m="1" x="1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4"/>
    <field x="15"/>
    <field x="0"/>
  </rowFields>
  <rowItems count="1">
    <i>
      <x/>
      <x/>
      <x v="328"/>
    </i>
  </rowItems>
  <colItems count="1">
    <i/>
  </colItems>
  <pageFields count="1">
    <pageField fld="4" hier="-1"/>
  </pageFields>
  <formats count="7">
    <format dxfId="56">
      <pivotArea type="all" dataOnly="0" outline="0" fieldPosition="0"/>
    </format>
    <format dxfId="55">
      <pivotArea field="14" type="button" dataOnly="0" labelOnly="1" outline="0" axis="axisRow" fieldPosition="0"/>
    </format>
    <format dxfId="54">
      <pivotArea field="15" type="button" dataOnly="0" labelOnly="1" outline="0" axis="axisRow" fieldPosition="1"/>
    </format>
    <format dxfId="53">
      <pivotArea field="0" type="button" dataOnly="0" labelOnly="1" outline="0" axis="axisRow" fieldPosition="2"/>
    </format>
    <format dxfId="52">
      <pivotArea dataOnly="0" labelOnly="1" outline="0" fieldPosition="0">
        <references count="1">
          <reference field="14" count="0"/>
        </references>
      </pivotArea>
    </format>
    <format dxfId="51">
      <pivotArea dataOnly="0" labelOnly="1" outline="0" fieldPosition="0">
        <references count="2">
          <reference field="14" count="0" selected="0"/>
          <reference field="15" count="0"/>
        </references>
      </pivotArea>
    </format>
    <format dxfId="50">
      <pivotArea dataOnly="0" labelOnly="1" outline="0" fieldPosition="0">
        <references count="3">
          <reference field="0" count="0"/>
          <reference field="14" count="0" selected="0"/>
          <reference field="15" count="0" selected="0"/>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A0EBD-24FB-400C-B800-D4C218441495}" name="TablaDinámica4" cacheId="4" applyNumberFormats="0" applyBorderFormats="0" applyFontFormats="0" applyPatternFormats="0" applyAlignmentFormats="0" applyWidthHeightFormats="1" dataCaption="Valores" updatedVersion="8" minRefreshableVersion="3" useAutoFormatting="1" rowGrandTotals="0" colGrandTotals="0" itemPrintTitles="1" createdVersion="7" indent="0" compact="0" compactData="0" multipleFieldFilters="0">
  <location ref="E5:G6" firstHeaderRow="1" firstDataRow="1" firstDataCol="3" rowPageCount="1" colPageCount="1"/>
  <pivotFields count="22">
    <pivotField axis="axisRow" compact="0" outline="0" showAll="0" defaultSubtotal="0">
      <items count="329">
        <item m="1" x="196"/>
        <item m="1" x="90"/>
        <item m="1" x="202"/>
        <item m="1" x="314"/>
        <item m="1" x="42"/>
        <item m="1" x="96"/>
        <item m="1" x="149"/>
        <item m="1" x="207"/>
        <item m="1" x="236"/>
        <item m="1" x="264"/>
        <item m="1" x="291"/>
        <item m="1" x="318"/>
        <item m="1" x="19"/>
        <item m="1" x="47"/>
        <item m="1" x="72"/>
        <item m="1" x="100"/>
        <item m="1" x="113"/>
        <item m="1" x="126"/>
        <item m="1" x="140"/>
        <item m="1" x="153"/>
        <item m="1" x="168"/>
        <item m="1" x="182"/>
        <item m="1" x="197"/>
        <item m="1" x="213"/>
        <item m="1" x="226"/>
        <item m="1" x="242"/>
        <item m="1" x="256"/>
        <item m="1" x="270"/>
        <item m="1" x="283"/>
        <item m="1" x="297"/>
        <item m="1" x="309"/>
        <item m="1" x="324"/>
        <item m="1" x="163"/>
        <item m="1" x="10"/>
        <item m="1" x="177"/>
        <item m="1" x="24"/>
        <item m="1" x="191"/>
        <item m="1" x="37"/>
        <item m="1" x="208"/>
        <item m="1" x="52"/>
        <item m="1" x="222"/>
        <item m="1" x="64"/>
        <item m="1" x="237"/>
        <item m="1" x="77"/>
        <item m="1" x="251"/>
        <item m="1" x="91"/>
        <item m="1" x="265"/>
        <item m="1" x="105"/>
        <item m="1" x="278"/>
        <item m="1" x="118"/>
        <item m="1" x="292"/>
        <item m="1" x="131"/>
        <item m="1" x="304"/>
        <item m="1" x="144"/>
        <item m="1" x="319"/>
        <item m="1" x="158"/>
        <item m="1" x="5"/>
        <item m="1" x="173"/>
        <item m="1" x="20"/>
        <item m="1" x="187"/>
        <item m="1" x="33"/>
        <item m="1" x="203"/>
        <item m="1" x="48"/>
        <item m="1" x="218"/>
        <item m="1" x="136"/>
        <item m="1" x="60"/>
        <item m="1" x="310"/>
        <item m="1" x="231"/>
        <item m="1" x="150"/>
        <item m="1" x="73"/>
        <item m="1" x="325"/>
        <item m="1" x="247"/>
        <item m="1" x="164"/>
        <item m="1" x="86"/>
        <item m="1" x="11"/>
        <item m="1" x="260"/>
        <item m="1" x="178"/>
        <item m="1" x="101"/>
        <item m="1" x="25"/>
        <item m="1" x="274"/>
        <item m="1" x="192"/>
        <item m="1" x="114"/>
        <item m="1" x="38"/>
        <item m="1" x="287"/>
        <item m="1" x="209"/>
        <item m="1" x="127"/>
        <item m="1" x="53"/>
        <item m="1" x="301"/>
        <item m="1" x="223"/>
        <item m="1" x="141"/>
        <item m="1" x="65"/>
        <item m="1" x="315"/>
        <item m="1" x="238"/>
        <item m="1" x="154"/>
        <item m="1" x="78"/>
        <item m="1" x="1"/>
        <item m="1" x="252"/>
        <item m="1" x="169"/>
        <item m="1" x="92"/>
        <item m="1" x="15"/>
        <item m="1" x="266"/>
        <item m="1" x="183"/>
        <item m="1" x="106"/>
        <item m="1" x="29"/>
        <item m="1" x="279"/>
        <item m="1" x="198"/>
        <item m="1" x="119"/>
        <item m="1" x="43"/>
        <item m="1" x="293"/>
        <item m="1" x="214"/>
        <item m="1" x="132"/>
        <item m="1" x="56"/>
        <item m="1" x="305"/>
        <item m="1" x="227"/>
        <item m="1" x="145"/>
        <item m="1" x="68"/>
        <item m="1" x="320"/>
        <item m="1" x="243"/>
        <item m="1" x="159"/>
        <item m="1" x="82"/>
        <item m="1" x="6"/>
        <item m="1" x="257"/>
        <item m="1" x="174"/>
        <item m="1" x="97"/>
        <item m="1" x="21"/>
        <item m="1" x="271"/>
        <item m="1" x="188"/>
        <item m="1" x="110"/>
        <item m="1" x="239"/>
        <item m="1" x="34"/>
        <item m="1" x="155"/>
        <item m="1" x="284"/>
        <item m="1" x="79"/>
        <item m="1" x="204"/>
        <item m="1" x="2"/>
        <item m="1" x="123"/>
        <item m="1" x="253"/>
        <item m="1" x="49"/>
        <item m="1" x="170"/>
        <item m="1" x="298"/>
        <item m="1" x="93"/>
        <item m="1" x="219"/>
        <item m="1" x="16"/>
        <item m="1" x="137"/>
        <item m="1" x="267"/>
        <item m="1" x="61"/>
        <item m="1" x="184"/>
        <item m="1" x="311"/>
        <item m="1" x="107"/>
        <item m="1" x="232"/>
        <item m="1" x="30"/>
        <item m="1" x="280"/>
        <item m="1" x="74"/>
        <item m="1" x="199"/>
        <item m="1" x="326"/>
        <item m="1" x="120"/>
        <item m="1" x="248"/>
        <item m="1" x="44"/>
        <item m="1" x="165"/>
        <item m="1" x="294"/>
        <item m="1" x="87"/>
        <item m="1" x="215"/>
        <item m="1" x="12"/>
        <item m="1" x="133"/>
        <item m="1" x="261"/>
        <item m="1" x="57"/>
        <item m="1" x="179"/>
        <item m="1" x="306"/>
        <item m="1" x="102"/>
        <item m="1" x="228"/>
        <item m="1" x="26"/>
        <item m="1" x="146"/>
        <item m="1" x="275"/>
        <item m="1" x="69"/>
        <item m="1" x="193"/>
        <item m="1" x="321"/>
        <item m="1" x="115"/>
        <item m="1" x="244"/>
        <item m="1" x="39"/>
        <item m="1" x="160"/>
        <item m="1" x="288"/>
        <item m="1" x="83"/>
        <item m="1" x="210"/>
        <item m="1" x="7"/>
        <item m="1" x="128"/>
        <item m="1" x="258"/>
        <item m="1" x="54"/>
        <item m="1" x="175"/>
        <item m="1" x="302"/>
        <item m="1" x="98"/>
        <item m="1" x="224"/>
        <item m="1" x="22"/>
        <item m="1" x="142"/>
        <item m="1" x="272"/>
        <item m="1" x="66"/>
        <item m="1" x="189"/>
        <item m="1" x="316"/>
        <item m="1" x="111"/>
        <item m="1" x="240"/>
        <item m="1" x="35"/>
        <item m="1" x="156"/>
        <item m="1" x="285"/>
        <item m="1" x="80"/>
        <item m="1" x="205"/>
        <item m="1" x="3"/>
        <item m="1" x="124"/>
        <item m="1" x="254"/>
        <item m="1" x="50"/>
        <item m="1" x="171"/>
        <item m="1" x="299"/>
        <item m="1" x="94"/>
        <item m="1" x="220"/>
        <item m="1" x="17"/>
        <item m="1" x="138"/>
        <item m="1" x="268"/>
        <item m="1" x="62"/>
        <item m="1" x="185"/>
        <item m="1" x="312"/>
        <item m="1" x="108"/>
        <item m="1" x="233"/>
        <item m="1" x="31"/>
        <item m="1" x="151"/>
        <item m="1" x="281"/>
        <item m="1" x="75"/>
        <item m="1" x="200"/>
        <item m="1" x="327"/>
        <item m="1" x="121"/>
        <item m="1" x="249"/>
        <item m="1" x="45"/>
        <item m="1" x="166"/>
        <item m="1" x="295"/>
        <item m="1" x="88"/>
        <item m="1" x="216"/>
        <item m="1" x="13"/>
        <item m="1" x="134"/>
        <item m="1" x="262"/>
        <item m="1" x="58"/>
        <item m="1" x="180"/>
        <item m="1" x="307"/>
        <item m="1" x="103"/>
        <item m="1" x="229"/>
        <item m="1" x="27"/>
        <item m="1" x="147"/>
        <item m="1" x="276"/>
        <item m="1" x="70"/>
        <item m="1" x="194"/>
        <item m="1" x="322"/>
        <item m="1" x="116"/>
        <item m="1" x="245"/>
        <item m="1" x="40"/>
        <item m="1" x="161"/>
        <item m="1" x="289"/>
        <item m="1" x="84"/>
        <item m="1" x="211"/>
        <item m="1" x="8"/>
        <item m="1" x="234"/>
        <item m="1" x="129"/>
        <item m="1" x="32"/>
        <item m="1" x="259"/>
        <item m="1" x="152"/>
        <item m="1" x="55"/>
        <item m="1" x="282"/>
        <item m="1" x="176"/>
        <item m="1" x="76"/>
        <item m="1" x="303"/>
        <item m="1" x="201"/>
        <item m="1" x="99"/>
        <item m="1" x="328"/>
        <item m="1" x="225"/>
        <item m="1" x="122"/>
        <item m="1" x="23"/>
        <item m="1" x="250"/>
        <item m="1" x="143"/>
        <item m="1" x="46"/>
        <item m="1" x="273"/>
        <item m="1" x="167"/>
        <item m="1" x="67"/>
        <item m="1" x="296"/>
        <item m="1" x="190"/>
        <item m="1" x="89"/>
        <item m="1" x="317"/>
        <item m="1" x="217"/>
        <item m="1" x="112"/>
        <item m="1" x="14"/>
        <item m="1" x="241"/>
        <item m="1" x="135"/>
        <item m="1" x="36"/>
        <item m="1" x="263"/>
        <item m="1" x="157"/>
        <item m="1" x="59"/>
        <item m="1" x="286"/>
        <item m="1" x="181"/>
        <item m="1" x="81"/>
        <item m="1" x="308"/>
        <item m="1" x="206"/>
        <item m="1" x="104"/>
        <item m="1" x="4"/>
        <item m="1" x="230"/>
        <item m="1" x="125"/>
        <item m="1" x="28"/>
        <item m="1" x="255"/>
        <item m="1" x="148"/>
        <item m="1" x="51"/>
        <item m="1" x="277"/>
        <item m="1" x="172"/>
        <item m="1" x="71"/>
        <item m="1" x="300"/>
        <item m="1" x="195"/>
        <item m="1" x="95"/>
        <item m="1" x="323"/>
        <item m="1" x="221"/>
        <item m="1" x="117"/>
        <item m="1" x="18"/>
        <item m="1" x="246"/>
        <item m="1" x="139"/>
        <item m="1" x="41"/>
        <item m="1" x="269"/>
        <item m="1" x="162"/>
        <item m="1" x="63"/>
        <item m="1" x="290"/>
        <item m="1" x="186"/>
        <item m="1" x="85"/>
        <item m="1" x="313"/>
        <item m="1" x="212"/>
        <item m="1" x="109"/>
        <item m="1" x="9"/>
        <item m="1" x="235"/>
        <item m="1" x="130"/>
        <item x="0"/>
      </items>
    </pivotField>
    <pivotField compact="0" outline="0" subtotalTop="0" showAll="0" defaultSubtotal="0"/>
    <pivotField compact="0" outline="0" subtotalTop="0" showAll="0" defaultSubtotal="0"/>
    <pivotField compact="0" outline="0" subtotalTop="0" showAll="0" defaultSubtotal="0"/>
    <pivotField axis="axisPage" compact="0" outline="0" multipleItemSelectionAllowed="1" showAll="0" defaultSubtotal="0">
      <items count="6">
        <item m="1" x="4"/>
        <item m="1" x="1"/>
        <item h="1" m="1" x="5"/>
        <item m="1" x="3"/>
        <item x="0"/>
        <item h="1" m="1" x="2"/>
      </items>
    </pivotField>
    <pivotField compact="0" outline="0" subtotalTop="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
        <item x="0"/>
        <item m="1" x="10"/>
        <item m="1" x="11"/>
        <item m="1" x="12"/>
        <item m="1" x="13"/>
        <item m="1" x="14"/>
        <item m="1" x="1"/>
        <item m="1" x="3"/>
        <item m="1" x="4"/>
        <item m="1" x="2"/>
        <item m="1" x="7"/>
        <item m="1" x="9"/>
        <item m="1" x="8"/>
        <item m="1" x="5"/>
        <item m="1" x="6"/>
      </items>
    </pivotField>
    <pivotField axis="axisRow" compact="0" outline="0" subtotalTop="0" showAll="0" defaultSubtotal="0">
      <items count="25">
        <item x="0"/>
        <item m="1" x="16"/>
        <item m="1" x="19"/>
        <item m="1" x="24"/>
        <item m="1" x="15"/>
        <item m="1" x="21"/>
        <item m="1" x="23"/>
        <item m="1" x="13"/>
        <item m="1" x="12"/>
        <item m="1" x="22"/>
        <item m="1" x="17"/>
        <item m="1" x="14"/>
        <item m="1" x="18"/>
        <item m="1" x="20"/>
        <item m="1" x="6"/>
        <item m="1" x="2"/>
        <item m="1" x="1"/>
        <item m="1" x="8"/>
        <item m="1" x="3"/>
        <item m="1" x="4"/>
        <item m="1" x="9"/>
        <item m="1" x="7"/>
        <item m="1" x="11"/>
        <item m="1" x="5"/>
        <item m="1" x="1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4"/>
    <field x="15"/>
    <field x="0"/>
  </rowFields>
  <rowItems count="1">
    <i>
      <x/>
      <x/>
      <x v="328"/>
    </i>
  </rowItems>
  <colItems count="1">
    <i/>
  </colItems>
  <pageFields count="1">
    <pageField fld="4" hier="-1"/>
  </pageFields>
  <formats count="7">
    <format dxfId="63">
      <pivotArea type="all" dataOnly="0" outline="0" fieldPosition="0"/>
    </format>
    <format dxfId="62">
      <pivotArea field="14" type="button" dataOnly="0" labelOnly="1" outline="0" axis="axisRow" fieldPosition="0"/>
    </format>
    <format dxfId="61">
      <pivotArea field="15" type="button" dataOnly="0" labelOnly="1" outline="0" axis="axisRow" fieldPosition="1"/>
    </format>
    <format dxfId="60">
      <pivotArea field="0" type="button" dataOnly="0" labelOnly="1" outline="0" axis="axisRow" fieldPosition="2"/>
    </format>
    <format dxfId="59">
      <pivotArea dataOnly="0" labelOnly="1" outline="0" fieldPosition="0">
        <references count="1">
          <reference field="14" count="0"/>
        </references>
      </pivotArea>
    </format>
    <format dxfId="58">
      <pivotArea dataOnly="0" labelOnly="1" outline="0" fieldPosition="0">
        <references count="2">
          <reference field="14" count="0" selected="0"/>
          <reference field="15" count="0"/>
        </references>
      </pivotArea>
    </format>
    <format dxfId="57">
      <pivotArea dataOnly="0" labelOnly="1" outline="0" fieldPosition="0">
        <references count="3">
          <reference field="0" count="0"/>
          <reference field="14" count="0" selected="0"/>
          <reference field="15" count="0" selected="0"/>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5BB75-D543-46B1-A77B-C88B70473D58}" name="TablaDinámica2" cacheId="3" applyNumberFormats="0" applyBorderFormats="0" applyFontFormats="0" applyPatternFormats="0" applyAlignmentFormats="0" applyWidthHeightFormats="1" dataCaption="Valores" updatedVersion="8" minRefreshableVersion="3" useAutoFormatting="1" itemPrintTitles="1" createdVersion="7" indent="0" compact="0" compactData="0" multipleFieldFilters="0" chartFormat="32">
  <location ref="A31:B33" firstHeaderRow="1" firstDataRow="1" firstDataCol="1" rowPageCount="1" colPageCount="1"/>
  <pivotFields count="25">
    <pivotField dataField="1" compact="0" outline="0" showAll="0"/>
    <pivotField compact="0" outline="0" showAll="0"/>
    <pivotField compact="0" outline="0" showAll="0"/>
    <pivotField compact="0" outline="0" showAll="0"/>
    <pivotField axis="axisPage" compact="0" outline="0" multipleItemSelectionAllowed="1" showAll="0">
      <items count="4">
        <item m="1" x="1"/>
        <item x="0"/>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m="1" x="1"/>
        <item m="1" x="4"/>
        <item m="1" x="3"/>
        <item x="0"/>
        <item m="1" x="5"/>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2">
    <i>
      <x v="3"/>
    </i>
    <i t="grand">
      <x/>
    </i>
  </rowItems>
  <colItems count="1">
    <i/>
  </colItems>
  <pageFields count="1">
    <pageField fld="4" hier="-1"/>
  </pageFields>
  <dataFields count="1">
    <dataField name="Cuenta de Nº" fld="0" subtotal="count" baseField="11" baseItem="0"/>
  </dataFields>
  <formats count="5">
    <format dxfId="31">
      <pivotArea type="all" dataOnly="0" outline="0" fieldPosition="0"/>
    </format>
    <format dxfId="30">
      <pivotArea outline="0" collapsedLevelsAreSubtotals="1" fieldPosition="0"/>
    </format>
    <format dxfId="29">
      <pivotArea field="11" type="button" dataOnly="0" labelOnly="1" outline="0" axis="axisRow" fieldPosition="0"/>
    </format>
    <format dxfId="28">
      <pivotArea dataOnly="0" labelOnly="1" grandRow="1" outline="0" fieldPosition="0"/>
    </format>
    <format dxfId="27">
      <pivotArea dataOnly="0" labelOnly="1" outline="0" axis="axisValues" fieldPosition="0"/>
    </format>
  </formats>
  <chartFormats count="2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1" count="1" selected="0">
            <x v="0"/>
          </reference>
        </references>
      </pivotArea>
    </chartFormat>
    <chartFormat chart="2" format="11">
      <pivotArea type="data" outline="0" fieldPosition="0">
        <references count="2">
          <reference field="4294967294" count="1" selected="0">
            <x v="0"/>
          </reference>
          <reference field="11" count="1" selected="0">
            <x v="1"/>
          </reference>
        </references>
      </pivotArea>
    </chartFormat>
    <chartFormat chart="2" format="12">
      <pivotArea type="data" outline="0" fieldPosition="0">
        <references count="2">
          <reference field="4294967294" count="1" selected="0">
            <x v="0"/>
          </reference>
          <reference field="11" count="1" selected="0">
            <x v="2"/>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1" count="1" selected="0">
            <x v="0"/>
          </reference>
        </references>
      </pivotArea>
    </chartFormat>
    <chartFormat chart="15" format="15">
      <pivotArea type="data" outline="0" fieldPosition="0">
        <references count="2">
          <reference field="4294967294" count="1" selected="0">
            <x v="0"/>
          </reference>
          <reference field="11" count="1" selected="0">
            <x v="1"/>
          </reference>
        </references>
      </pivotArea>
    </chartFormat>
    <chartFormat chart="15" format="16">
      <pivotArea type="data" outline="0" fieldPosition="0">
        <references count="2">
          <reference field="4294967294" count="1" selected="0">
            <x v="0"/>
          </reference>
          <reference field="11" count="1" selected="0">
            <x v="2"/>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11" count="1" selected="0">
            <x v="0"/>
          </reference>
        </references>
      </pivotArea>
    </chartFormat>
    <chartFormat chart="16" format="19">
      <pivotArea type="data" outline="0" fieldPosition="0">
        <references count="2">
          <reference field="4294967294" count="1" selected="0">
            <x v="0"/>
          </reference>
          <reference field="11" count="1" selected="0">
            <x v="1"/>
          </reference>
        </references>
      </pivotArea>
    </chartFormat>
    <chartFormat chart="16" format="20">
      <pivotArea type="data" outline="0" fieldPosition="0">
        <references count="2">
          <reference field="4294967294" count="1" selected="0">
            <x v="0"/>
          </reference>
          <reference field="11" count="1" selected="0">
            <x v="2"/>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11" count="1" selected="0">
            <x v="0"/>
          </reference>
        </references>
      </pivotArea>
    </chartFormat>
    <chartFormat chart="23" format="15">
      <pivotArea type="data" outline="0" fieldPosition="0">
        <references count="2">
          <reference field="4294967294" count="1" selected="0">
            <x v="0"/>
          </reference>
          <reference field="11" count="1" selected="0">
            <x v="1"/>
          </reference>
        </references>
      </pivotArea>
    </chartFormat>
    <chartFormat chart="23" format="16">
      <pivotArea type="data" outline="0" fieldPosition="0">
        <references count="2">
          <reference field="4294967294" count="1" selected="0">
            <x v="0"/>
          </reference>
          <reference field="11" count="1" selected="0">
            <x v="2"/>
          </reference>
        </references>
      </pivotArea>
    </chartFormat>
    <chartFormat chart="24" format="17" series="1">
      <pivotArea type="data" outline="0" fieldPosition="0">
        <references count="1">
          <reference field="4294967294" count="1" selected="0">
            <x v="0"/>
          </reference>
        </references>
      </pivotArea>
    </chartFormat>
    <chartFormat chart="24" format="18">
      <pivotArea type="data" outline="0" fieldPosition="0">
        <references count="2">
          <reference field="4294967294" count="1" selected="0">
            <x v="0"/>
          </reference>
          <reference field="11" count="1" selected="0">
            <x v="0"/>
          </reference>
        </references>
      </pivotArea>
    </chartFormat>
    <chartFormat chart="24" format="19">
      <pivotArea type="data" outline="0" fieldPosition="0">
        <references count="2">
          <reference field="4294967294" count="1" selected="0">
            <x v="0"/>
          </reference>
          <reference field="11" count="1" selected="0">
            <x v="1"/>
          </reference>
        </references>
      </pivotArea>
    </chartFormat>
    <chartFormat chart="24" format="20">
      <pivotArea type="data" outline="0" fieldPosition="0">
        <references count="2">
          <reference field="4294967294" count="1" selected="0">
            <x v="0"/>
          </reference>
          <reference field="11" count="1" selected="0">
            <x v="2"/>
          </reference>
        </references>
      </pivotArea>
    </chartFormat>
    <chartFormat chart="2" format="13">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1" count="1" selected="0">
            <x v="3"/>
          </reference>
        </references>
      </pivotArea>
    </chartFormat>
    <chartFormat chart="2" format="16">
      <pivotArea type="data" outline="0" fieldPosition="0">
        <references count="2">
          <reference field="4294967294" count="1" selected="0">
            <x v="0"/>
          </reference>
          <reference field="11" count="1" selected="0">
            <x v="4"/>
          </reference>
        </references>
      </pivotArea>
    </chartFormat>
    <chartFormat chart="2" format="17">
      <pivotArea type="data" outline="0" fieldPosition="0">
        <references count="2">
          <reference field="4294967294" count="1" selected="0">
            <x v="0"/>
          </reference>
          <reference field="11" count="1" selected="0">
            <x v="5"/>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461B56-19B0-44B7-947D-43042E793F49}" name="TablaDinámica5" cacheId="0"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33">
  <location ref="A83:B92" firstHeaderRow="1" firstDataRow="1" firstDataCol="1" rowPageCount="2" colPageCount="1"/>
  <pivotFields count="28">
    <pivotField dataField="1" showAll="0"/>
    <pivotField showAll="0"/>
    <pivotField showAll="0"/>
    <pivotField showAll="0"/>
    <pivotField axis="axisPage" multipleItemSelectionAllowed="1" showAll="0">
      <items count="4">
        <item x="0"/>
        <item x="1"/>
        <item x="2"/>
        <item t="default"/>
      </items>
    </pivotField>
    <pivotField showAll="0"/>
    <pivotField axis="axisRow" showAll="0">
      <items count="12">
        <item x="0"/>
        <item x="1"/>
        <item x="3"/>
        <item x="2"/>
        <item x="4"/>
        <item m="1" x="9"/>
        <item m="1" x="10"/>
        <item x="5"/>
        <item m="1" x="8"/>
        <item x="6"/>
        <item x="7"/>
        <item t="default"/>
      </items>
    </pivotField>
    <pivotField showAll="0"/>
    <pivotField showAll="0"/>
    <pivotField showAll="0"/>
    <pivotField showAll="0"/>
    <pivotField showAll="0"/>
    <pivotField showAll="0"/>
    <pivotField showAll="0"/>
    <pivotField showAll="0"/>
    <pivotField axis="axisPage" showAll="0">
      <items count="23">
        <item m="1" x="13"/>
        <item m="1" x="20"/>
        <item m="1" x="16"/>
        <item m="1" x="17"/>
        <item m="1" x="12"/>
        <item m="1" x="11"/>
        <item m="1" x="21"/>
        <item m="1" x="14"/>
        <item m="1" x="18"/>
        <item m="1" x="15"/>
        <item m="1" x="19"/>
        <item x="5"/>
        <item x="1"/>
        <item x="0"/>
        <item x="7"/>
        <item x="2"/>
        <item x="3"/>
        <item x="8"/>
        <item x="6"/>
        <item m="1" x="10"/>
        <item x="4"/>
        <item x="9"/>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s>
  <rowFields count="1">
    <field x="6"/>
  </rowFields>
  <rowItems count="9">
    <i>
      <x/>
    </i>
    <i>
      <x v="1"/>
    </i>
    <i>
      <x v="2"/>
    </i>
    <i>
      <x v="3"/>
    </i>
    <i>
      <x v="4"/>
    </i>
    <i>
      <x v="7"/>
    </i>
    <i>
      <x v="9"/>
    </i>
    <i>
      <x v="10"/>
    </i>
    <i t="grand">
      <x/>
    </i>
  </rowItems>
  <colItems count="1">
    <i/>
  </colItems>
  <pageFields count="2">
    <pageField fld="4" hier="-1"/>
    <pageField fld="15" hier="-1"/>
  </pageFields>
  <dataFields count="1">
    <dataField name="Cuenta de Nº" fld="0" subtotal="count" baseField="11" baseItem="0"/>
  </dataFields>
  <formats count="6">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grandRow="1" outline="0" fieldPosition="0"/>
    </format>
    <format dxfId="3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1D3341-2C0A-4EE1-8316-77B6AF1E9563}" name="TablaDinámica4" cacheId="4"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32">
  <location ref="A67:B69" firstHeaderRow="1" firstDataRow="1" firstDataCol="1" rowPageCount="2" colPageCount="1"/>
  <pivotFields count="22">
    <pivotField dataField="1" showAll="0"/>
    <pivotField showAll="0"/>
    <pivotField showAll="0"/>
    <pivotField showAll="0"/>
    <pivotField axis="axisPage" multipleItemSelectionAllowed="1" showAll="0">
      <items count="7">
        <item m="1" x="4"/>
        <item m="1" x="1"/>
        <item h="1" m="1" x="5"/>
        <item m="1" x="3"/>
        <item x="0"/>
        <item m="1" x="2"/>
        <item t="default"/>
      </items>
    </pivotField>
    <pivotField showAll="0"/>
    <pivotField showAll="0"/>
    <pivotField showAll="0"/>
    <pivotField showAll="0"/>
    <pivotField showAll="0"/>
    <pivotField showAll="0"/>
    <pivotField axis="axisRow" showAll="0">
      <items count="7">
        <item m="1" x="1"/>
        <item m="1" x="4"/>
        <item m="1" x="3"/>
        <item x="0"/>
        <item m="1" x="5"/>
        <item m="1" x="2"/>
        <item t="default"/>
      </items>
    </pivotField>
    <pivotField showAll="0"/>
    <pivotField showAll="0"/>
    <pivotField showAll="0"/>
    <pivotField axis="axisPage" multipleItemSelectionAllowed="1" showAll="0">
      <items count="26">
        <item x="0"/>
        <item m="1" x="16"/>
        <item m="1" x="19"/>
        <item m="1" x="24"/>
        <item m="1" x="15"/>
        <item m="1" x="21"/>
        <item m="1" x="23"/>
        <item m="1" x="13"/>
        <item m="1" x="12"/>
        <item m="1" x="22"/>
        <item m="1" x="17"/>
        <item m="1" x="14"/>
        <item m="1" x="18"/>
        <item m="1" x="20"/>
        <item m="1" x="6"/>
        <item m="1" x="2"/>
        <item m="1" x="1"/>
        <item m="1" x="8"/>
        <item m="1" x="3"/>
        <item m="1" x="4"/>
        <item m="1" x="9"/>
        <item m="1" x="7"/>
        <item m="1" x="11"/>
        <item m="1" x="5"/>
        <item m="1" x="10"/>
        <item t="default"/>
      </items>
    </pivotField>
    <pivotField showAll="0"/>
    <pivotField showAll="0"/>
    <pivotField showAll="0"/>
    <pivotField showAll="0"/>
    <pivotField showAll="0"/>
    <pivotField showAll="0"/>
  </pivotFields>
  <rowFields count="1">
    <field x="11"/>
  </rowFields>
  <rowItems count="2">
    <i>
      <x v="3"/>
    </i>
    <i t="grand">
      <x/>
    </i>
  </rowItems>
  <colItems count="1">
    <i/>
  </colItems>
  <pageFields count="2">
    <pageField fld="4" hier="-1"/>
    <pageField fld="15" hier="-1"/>
  </pageFields>
  <dataFields count="1">
    <dataField name="Cuenta de Nº" fld="0" subtotal="count" baseField="11" baseItem="0"/>
  </dataFields>
  <formats count="6">
    <format dxfId="43">
      <pivotArea type="all" dataOnly="0" outline="0" fieldPosition="0"/>
    </format>
    <format dxfId="42">
      <pivotArea outline="0" collapsedLevelsAreSubtotals="1" fieldPosition="0"/>
    </format>
    <format dxfId="41">
      <pivotArea field="11" type="button" dataOnly="0" labelOnly="1" outline="0" axis="axisRow" fieldPosition="0"/>
    </format>
    <format dxfId="40">
      <pivotArea dataOnly="0" labelOnly="1" fieldPosition="0">
        <references count="1">
          <reference field="11" count="0"/>
        </references>
      </pivotArea>
    </format>
    <format dxfId="39">
      <pivotArea dataOnly="0" labelOnly="1" grandRow="1" outline="0" fieldPosition="0"/>
    </format>
    <format dxfId="38">
      <pivotArea dataOnly="0" labelOnly="1" outline="0" axis="axisValues" fieldPosition="0"/>
    </format>
  </formats>
  <chartFormats count="4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 chart="0" format="10">
      <pivotArea type="data" outline="0" fieldPosition="0">
        <references count="2">
          <reference field="4294967294" count="1" selected="0">
            <x v="0"/>
          </reference>
          <reference field="11" count="1" selected="0">
            <x v="0"/>
          </reference>
        </references>
      </pivotArea>
    </chartFormat>
    <chartFormat chart="0" format="11">
      <pivotArea type="data" outline="0" fieldPosition="0">
        <references count="2">
          <reference field="4294967294" count="1" selected="0">
            <x v="0"/>
          </reference>
          <reference field="11" count="1" selected="0">
            <x v="1"/>
          </reference>
        </references>
      </pivotArea>
    </chartFormat>
    <chartFormat chart="0" format="12">
      <pivotArea type="data" outline="0" fieldPosition="0">
        <references count="2">
          <reference field="4294967294" count="1" selected="0">
            <x v="0"/>
          </reference>
          <reference field="11"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1" count="1" selected="0">
            <x v="0"/>
          </reference>
        </references>
      </pivotArea>
    </chartFormat>
    <chartFormat chart="4" format="15">
      <pivotArea type="data" outline="0" fieldPosition="0">
        <references count="2">
          <reference field="4294967294" count="1" selected="0">
            <x v="0"/>
          </reference>
          <reference field="11" count="1" selected="0">
            <x v="1"/>
          </reference>
        </references>
      </pivotArea>
    </chartFormat>
    <chartFormat chart="4" format="16">
      <pivotArea type="data" outline="0" fieldPosition="0">
        <references count="2">
          <reference field="4294967294" count="1" selected="0">
            <x v="0"/>
          </reference>
          <reference field="11" count="1" selected="0">
            <x v="2"/>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1" count="1" selected="0">
            <x v="0"/>
          </reference>
        </references>
      </pivotArea>
    </chartFormat>
    <chartFormat chart="5" format="19">
      <pivotArea type="data" outline="0" fieldPosition="0">
        <references count="2">
          <reference field="4294967294" count="1" selected="0">
            <x v="0"/>
          </reference>
          <reference field="11" count="1" selected="0">
            <x v="1"/>
          </reference>
        </references>
      </pivotArea>
    </chartFormat>
    <chartFormat chart="5" format="20">
      <pivotArea type="data" outline="0" fieldPosition="0">
        <references count="2">
          <reference field="4294967294" count="1" selected="0">
            <x v="0"/>
          </reference>
          <reference field="11"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1" count="1" selected="0">
            <x v="0"/>
          </reference>
        </references>
      </pivotArea>
    </chartFormat>
    <chartFormat chart="7" format="15">
      <pivotArea type="data" outline="0" fieldPosition="0">
        <references count="2">
          <reference field="4294967294" count="1" selected="0">
            <x v="0"/>
          </reference>
          <reference field="11" count="1" selected="0">
            <x v="1"/>
          </reference>
        </references>
      </pivotArea>
    </chartFormat>
    <chartFormat chart="7" format="16">
      <pivotArea type="data" outline="0" fieldPosition="0">
        <references count="2">
          <reference field="4294967294" count="1" selected="0">
            <x v="0"/>
          </reference>
          <reference field="11" count="1" selected="0">
            <x v="2"/>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11" count="1" selected="0">
            <x v="0"/>
          </reference>
        </references>
      </pivotArea>
    </chartFormat>
    <chartFormat chart="8" format="19">
      <pivotArea type="data" outline="0" fieldPosition="0">
        <references count="2">
          <reference field="4294967294" count="1" selected="0">
            <x v="0"/>
          </reference>
          <reference field="11" count="1" selected="0">
            <x v="1"/>
          </reference>
        </references>
      </pivotArea>
    </chartFormat>
    <chartFormat chart="8" format="20">
      <pivotArea type="data" outline="0" fieldPosition="0">
        <references count="2">
          <reference field="4294967294" count="1" selected="0">
            <x v="0"/>
          </reference>
          <reference field="11"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1" count="1" selected="0">
            <x v="0"/>
          </reference>
        </references>
      </pivotArea>
    </chartFormat>
    <chartFormat chart="10" format="15">
      <pivotArea type="data" outline="0" fieldPosition="0">
        <references count="2">
          <reference field="4294967294" count="1" selected="0">
            <x v="0"/>
          </reference>
          <reference field="11" count="1" selected="0">
            <x v="1"/>
          </reference>
        </references>
      </pivotArea>
    </chartFormat>
    <chartFormat chart="10" format="16">
      <pivotArea type="data" outline="0" fieldPosition="0">
        <references count="2">
          <reference field="4294967294" count="1" selected="0">
            <x v="0"/>
          </reference>
          <reference field="11" count="1" selected="0">
            <x v="2"/>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11" count="1" selected="0">
            <x v="0"/>
          </reference>
        </references>
      </pivotArea>
    </chartFormat>
    <chartFormat chart="11" format="19">
      <pivotArea type="data" outline="0" fieldPosition="0">
        <references count="2">
          <reference field="4294967294" count="1" selected="0">
            <x v="0"/>
          </reference>
          <reference field="11" count="1" selected="0">
            <x v="1"/>
          </reference>
        </references>
      </pivotArea>
    </chartFormat>
    <chartFormat chart="11" format="20">
      <pivotArea type="data" outline="0" fieldPosition="0">
        <references count="2">
          <reference field="4294967294" count="1" selected="0">
            <x v="0"/>
          </reference>
          <reference field="11"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1" count="1" selected="0">
            <x v="0"/>
          </reference>
        </references>
      </pivotArea>
    </chartFormat>
    <chartFormat chart="16" format="15">
      <pivotArea type="data" outline="0" fieldPosition="0">
        <references count="2">
          <reference field="4294967294" count="1" selected="0">
            <x v="0"/>
          </reference>
          <reference field="11" count="1" selected="0">
            <x v="1"/>
          </reference>
        </references>
      </pivotArea>
    </chartFormat>
    <chartFormat chart="16" format="16">
      <pivotArea type="data" outline="0" fieldPosition="0">
        <references count="2">
          <reference field="4294967294" count="1" selected="0">
            <x v="0"/>
          </reference>
          <reference field="11" count="1" selected="0">
            <x v="2"/>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11" count="1" selected="0">
            <x v="0"/>
          </reference>
        </references>
      </pivotArea>
    </chartFormat>
    <chartFormat chart="17" format="19">
      <pivotArea type="data" outline="0" fieldPosition="0">
        <references count="2">
          <reference field="4294967294" count="1" selected="0">
            <x v="0"/>
          </reference>
          <reference field="11" count="1" selected="0">
            <x v="1"/>
          </reference>
        </references>
      </pivotArea>
    </chartFormat>
    <chartFormat chart="17" format="20">
      <pivotArea type="data" outline="0" fieldPosition="0">
        <references count="2">
          <reference field="4294967294" count="1" selected="0">
            <x v="0"/>
          </reference>
          <reference field="11" count="1" selected="0">
            <x v="2"/>
          </reference>
        </references>
      </pivotArea>
    </chartFormat>
    <chartFormat chart="0" format="15">
      <pivotArea type="data" outline="0" fieldPosition="0">
        <references count="2">
          <reference field="4294967294" count="1" selected="0">
            <x v="0"/>
          </reference>
          <reference field="11" count="1" selected="0">
            <x v="3"/>
          </reference>
        </references>
      </pivotArea>
    </chartFormat>
    <chartFormat chart="0" format="16">
      <pivotArea type="data" outline="0" fieldPosition="0">
        <references count="2">
          <reference field="4294967294" count="1" selected="0">
            <x v="0"/>
          </reference>
          <reference field="11" count="1" selected="0">
            <x v="4"/>
          </reference>
        </references>
      </pivotArea>
    </chartFormat>
    <chartFormat chart="0" format="17">
      <pivotArea type="data" outline="0" fieldPosition="0">
        <references count="2">
          <reference field="4294967294" count="1" selected="0">
            <x v="0"/>
          </reference>
          <reference field="11" count="1" selected="0">
            <x v="5"/>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75CB3-F433-42DE-AB78-823867FD9CAB}" name="TablaDinámica3" cacheId="4"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chartFormat="34">
  <location ref="A41:B43" firstHeaderRow="1" firstDataRow="1" firstDataCol="1" rowPageCount="1" colPageCount="1"/>
  <pivotFields count="22">
    <pivotField dataField="1" showAll="0"/>
    <pivotField showAll="0"/>
    <pivotField showAll="0"/>
    <pivotField showAll="0"/>
    <pivotField axis="axisPage" multipleItemSelectionAllowed="1" showAll="0">
      <items count="7">
        <item m="1" x="4"/>
        <item m="1" x="1"/>
        <item h="1" m="1" x="5"/>
        <item m="1" x="3"/>
        <item x="0"/>
        <item m="1" x="2"/>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0"/>
        <item m="1" x="16"/>
        <item m="1" x="19"/>
        <item m="1" x="24"/>
        <item m="1" x="15"/>
        <item m="1" x="21"/>
        <item m="1" x="23"/>
        <item m="1" x="13"/>
        <item m="1" x="12"/>
        <item m="1" x="22"/>
        <item m="1" x="17"/>
        <item m="1" x="14"/>
        <item m="1" x="18"/>
        <item m="1" x="20"/>
        <item m="1" x="6"/>
        <item m="1" x="2"/>
        <item m="1" x="1"/>
        <item m="1" x="8"/>
        <item m="1" x="3"/>
        <item m="1" x="4"/>
        <item m="1" x="9"/>
        <item m="1" x="7"/>
        <item m="1" x="11"/>
        <item m="1" x="5"/>
        <item m="1" x="10"/>
        <item t="default"/>
      </items>
    </pivotField>
    <pivotField showAll="0"/>
    <pivotField showAll="0"/>
    <pivotField showAll="0"/>
    <pivotField showAll="0"/>
    <pivotField showAll="0"/>
    <pivotField showAll="0"/>
  </pivotFields>
  <rowFields count="1">
    <field x="15"/>
  </rowFields>
  <rowItems count="2">
    <i>
      <x/>
    </i>
    <i t="grand">
      <x/>
    </i>
  </rowItems>
  <colItems count="1">
    <i/>
  </colItems>
  <pageFields count="1">
    <pageField fld="4" hier="-1"/>
  </pageFields>
  <dataFields count="1">
    <dataField name="Cuenta de Nº" fld="0" subtotal="count" baseField="11" baseItem="0"/>
  </dataFields>
  <formats count="6">
    <format dxfId="49">
      <pivotArea type="all" dataOnly="0" outline="0" fieldPosition="0"/>
    </format>
    <format dxfId="48">
      <pivotArea outline="0" collapsedLevelsAreSubtotals="1" fieldPosition="0"/>
    </format>
    <format dxfId="47">
      <pivotArea field="15" type="button" dataOnly="0" labelOnly="1" outline="0" axis="axisRow" fieldPosition="0"/>
    </format>
    <format dxfId="46">
      <pivotArea dataOnly="0" labelOnly="1" fieldPosition="0">
        <references count="1">
          <reference field="15" count="0"/>
        </references>
      </pivotArea>
    </format>
    <format dxfId="45">
      <pivotArea dataOnly="0" labelOnly="1" grandRow="1" outline="0" fieldPosition="0"/>
    </format>
    <format dxfId="44">
      <pivotArea dataOnly="0" labelOnly="1" outline="0" axis="axisValues" fieldPosition="0"/>
    </format>
  </formats>
  <chartFormats count="3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 chart="11" format="22"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15" count="1" selected="0">
            <x v="0"/>
          </reference>
        </references>
      </pivotArea>
    </chartFormat>
    <chartFormat chart="0" format="18">
      <pivotArea type="data" outline="0" fieldPosition="0">
        <references count="2">
          <reference field="4294967294" count="1" selected="0">
            <x v="0"/>
          </reference>
          <reference field="15" count="1" selected="0">
            <x v="1"/>
          </reference>
        </references>
      </pivotArea>
    </chartFormat>
    <chartFormat chart="0" format="19">
      <pivotArea type="data" outline="0" fieldPosition="0">
        <references count="2">
          <reference field="4294967294" count="1" selected="0">
            <x v="0"/>
          </reference>
          <reference field="15" count="1" selected="0">
            <x v="2"/>
          </reference>
        </references>
      </pivotArea>
    </chartFormat>
    <chartFormat chart="0" format="20">
      <pivotArea type="data" outline="0" fieldPosition="0">
        <references count="2">
          <reference field="4294967294" count="1" selected="0">
            <x v="0"/>
          </reference>
          <reference field="15" count="1" selected="0">
            <x v="3"/>
          </reference>
        </references>
      </pivotArea>
    </chartFormat>
    <chartFormat chart="0" format="21">
      <pivotArea type="data" outline="0" fieldPosition="0">
        <references count="2">
          <reference field="4294967294" count="1" selected="0">
            <x v="0"/>
          </reference>
          <reference field="15" count="1" selected="0">
            <x v="4"/>
          </reference>
        </references>
      </pivotArea>
    </chartFormat>
    <chartFormat chart="0" format="22">
      <pivotArea type="data" outline="0" fieldPosition="0">
        <references count="2">
          <reference field="4294967294" count="1" selected="0">
            <x v="0"/>
          </reference>
          <reference field="15" count="1" selected="0">
            <x v="5"/>
          </reference>
        </references>
      </pivotArea>
    </chartFormat>
    <chartFormat chart="0" format="23">
      <pivotArea type="data" outline="0" fieldPosition="0">
        <references count="2">
          <reference field="4294967294" count="1" selected="0">
            <x v="0"/>
          </reference>
          <reference field="15" count="1" selected="0">
            <x v="6"/>
          </reference>
        </references>
      </pivotArea>
    </chartFormat>
    <chartFormat chart="0" format="24">
      <pivotArea type="data" outline="0" fieldPosition="0">
        <references count="2">
          <reference field="4294967294" count="1" selected="0">
            <x v="0"/>
          </reference>
          <reference field="15" count="1" selected="0">
            <x v="7"/>
          </reference>
        </references>
      </pivotArea>
    </chartFormat>
    <chartFormat chart="0" format="25">
      <pivotArea type="data" outline="0" fieldPosition="0">
        <references count="2">
          <reference field="4294967294" count="1" selected="0">
            <x v="0"/>
          </reference>
          <reference field="15" count="1" selected="0">
            <x v="8"/>
          </reference>
        </references>
      </pivotArea>
    </chartFormat>
    <chartFormat chart="0" format="26">
      <pivotArea type="data" outline="0" fieldPosition="0">
        <references count="2">
          <reference field="4294967294" count="1" selected="0">
            <x v="0"/>
          </reference>
          <reference field="15" count="1" selected="0">
            <x v="9"/>
          </reference>
        </references>
      </pivotArea>
    </chartFormat>
    <chartFormat chart="0" format="27">
      <pivotArea type="data" outline="0" fieldPosition="0">
        <references count="2">
          <reference field="4294967294" count="1" selected="0">
            <x v="0"/>
          </reference>
          <reference field="15" count="1" selected="0">
            <x v="10"/>
          </reference>
        </references>
      </pivotArea>
    </chartFormat>
    <chartFormat chart="0" format="28">
      <pivotArea type="data" outline="0" fieldPosition="0">
        <references count="2">
          <reference field="4294967294" count="1" selected="0">
            <x v="0"/>
          </reference>
          <reference field="15" count="1" selected="0">
            <x v="11"/>
          </reference>
        </references>
      </pivotArea>
    </chartFormat>
    <chartFormat chart="0" format="29">
      <pivotArea type="data" outline="0" fieldPosition="0">
        <references count="2">
          <reference field="4294967294" count="1" selected="0">
            <x v="0"/>
          </reference>
          <reference field="15" count="1" selected="0">
            <x v="12"/>
          </reference>
        </references>
      </pivotArea>
    </chartFormat>
    <chartFormat chart="0" format="30">
      <pivotArea type="data" outline="0" fieldPosition="0">
        <references count="2">
          <reference field="4294967294" count="1" selected="0">
            <x v="0"/>
          </reference>
          <reference field="15" count="1" selected="0">
            <x v="13"/>
          </reference>
        </references>
      </pivotArea>
    </chartFormat>
    <chartFormat chart="0" format="31">
      <pivotArea type="data" outline="0" fieldPosition="0">
        <references count="2">
          <reference field="4294967294" count="1" selected="0">
            <x v="0"/>
          </reference>
          <reference field="15" count="1" selected="0">
            <x v="14"/>
          </reference>
        </references>
      </pivotArea>
    </chartFormat>
    <chartFormat chart="0" format="32">
      <pivotArea type="data" outline="0" fieldPosition="0">
        <references count="2">
          <reference field="4294967294" count="1" selected="0">
            <x v="0"/>
          </reference>
          <reference field="15" count="1" selected="0">
            <x v="15"/>
          </reference>
        </references>
      </pivotArea>
    </chartFormat>
    <chartFormat chart="0" format="33">
      <pivotArea type="data" outline="0" fieldPosition="0">
        <references count="2">
          <reference field="4294967294" count="1" selected="0">
            <x v="0"/>
          </reference>
          <reference field="15" count="1" selected="0">
            <x v="17"/>
          </reference>
        </references>
      </pivotArea>
    </chartFormat>
    <chartFormat chart="0" format="34">
      <pivotArea type="data" outline="0" fieldPosition="0">
        <references count="2">
          <reference field="4294967294" count="1" selected="0">
            <x v="0"/>
          </reference>
          <reference field="15" count="1" selected="0">
            <x v="18"/>
          </reference>
        </references>
      </pivotArea>
    </chartFormat>
    <chartFormat chart="0" format="35">
      <pivotArea type="data" outline="0" fieldPosition="0">
        <references count="2">
          <reference field="4294967294" count="1" selected="0">
            <x v="0"/>
          </reference>
          <reference field="15" count="1" selected="0">
            <x v="23"/>
          </reference>
        </references>
      </pivotArea>
    </chartFormat>
    <chartFormat chart="0" format="36">
      <pivotArea type="data" outline="0" fieldPosition="0">
        <references count="2">
          <reference field="4294967294" count="1" selected="0">
            <x v="0"/>
          </reference>
          <reference field="15" count="1" selected="0">
            <x v="16"/>
          </reference>
        </references>
      </pivotArea>
    </chartFormat>
    <chartFormat chart="0" format="37">
      <pivotArea type="data" outline="0" fieldPosition="0">
        <references count="2">
          <reference field="4294967294" count="1" selected="0">
            <x v="0"/>
          </reference>
          <reference field="15" count="1" selected="0">
            <x v="19"/>
          </reference>
        </references>
      </pivotArea>
    </chartFormat>
    <chartFormat chart="0" format="38">
      <pivotArea type="data" outline="0" fieldPosition="0">
        <references count="2">
          <reference field="4294967294" count="1" selected="0">
            <x v="0"/>
          </reference>
          <reference field="15" count="1" selected="0">
            <x v="20"/>
          </reference>
        </references>
      </pivotArea>
    </chartFormat>
    <chartFormat chart="0" format="39">
      <pivotArea type="data" outline="0" fieldPosition="0">
        <references count="2">
          <reference field="4294967294" count="1" selected="0">
            <x v="0"/>
          </reference>
          <reference field="15" count="1" selected="0">
            <x v="21"/>
          </reference>
        </references>
      </pivotArea>
    </chartFormat>
    <chartFormat chart="0" format="40">
      <pivotArea type="data" outline="0" fieldPosition="0">
        <references count="2">
          <reference field="4294967294" count="1" selected="0">
            <x v="0"/>
          </reference>
          <reference field="15" count="1" selected="0">
            <x v="22"/>
          </reference>
        </references>
      </pivotArea>
    </chartFormat>
    <chartFormat chart="0" format="41">
      <pivotArea type="data" outline="0" fieldPosition="0">
        <references count="2">
          <reference field="4294967294" count="1" selected="0">
            <x v="0"/>
          </reference>
          <reference field="15" count="1" selected="0">
            <x v="24"/>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513E17-D1D7-49FE-A1B5-FC2B57DD79D5}"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6" firstHeaderRow="1" firstDataRow="1" firstDataCol="1" rowPageCount="2" colPageCount="1"/>
  <pivotFields count="30">
    <pivotField showAll="0"/>
    <pivotField showAll="0"/>
    <pivotField showAll="0"/>
    <pivotField showAll="0"/>
    <pivotField multipleItemSelectionAllowed="1" showAll="0"/>
    <pivotField axis="axisPage" multipleItemSelectionAllowed="1" showAll="0">
      <items count="9">
        <item m="1" x="5"/>
        <item m="1" x="2"/>
        <item m="1" x="6"/>
        <item m="1" x="7"/>
        <item m="1" x="4"/>
        <item m="1" x="3"/>
        <item m="1" x="1"/>
        <item x="0"/>
        <item t="default"/>
      </items>
    </pivotField>
    <pivotField showAll="0"/>
    <pivotField axis="axisPage" multipleItemSelectionAllowed="1" showAll="0">
      <items count="9">
        <item m="1" x="1"/>
        <item m="1" x="2"/>
        <item m="1" x="4"/>
        <item m="1" x="3"/>
        <item m="1" x="5"/>
        <item m="1" x="6"/>
        <item m="1" x="7"/>
        <item x="0"/>
        <item t="default"/>
      </items>
    </pivotField>
    <pivotField showAll="0"/>
    <pivotField showAll="0"/>
    <pivotField showAll="0"/>
    <pivotField showAll="0"/>
    <pivotField showAll="0"/>
    <pivotField showAll="0"/>
    <pivotField showAll="0"/>
    <pivotField axis="axisRow" dataField="1" showAll="0">
      <items count="25">
        <item m="1" x="22"/>
        <item m="1" x="15"/>
        <item m="1" x="18"/>
        <item m="1" x="23"/>
        <item m="1" x="16"/>
        <item m="1" x="19"/>
        <item m="1" x="12"/>
        <item m="1" x="17"/>
        <item m="1" x="21"/>
        <item m="1" x="20"/>
        <item x="0"/>
        <item m="1" x="13"/>
        <item m="1" x="6"/>
        <item m="1" x="2"/>
        <item m="1" x="14"/>
        <item m="1" x="8"/>
        <item m="1" x="3"/>
        <item m="1" x="9"/>
        <item m="1" x="7"/>
        <item m="1" x="11"/>
        <item m="1" x="5"/>
        <item m="1" x="1"/>
        <item m="1" x="4"/>
        <item m="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10"/>
    </i>
    <i t="grand">
      <x/>
    </i>
  </rowItems>
  <colItems count="1">
    <i/>
  </colItems>
  <pageFields count="2">
    <pageField fld="7" hier="-1"/>
    <pageField fld="5" hier="-1"/>
  </pageFields>
  <dataFields count="1">
    <dataField name="Cuenta de Estado"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76AE3C-3F9B-408C-99C6-C4FFEA10FFF5}"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3">
  <location ref="A4:H16" firstHeaderRow="1" firstDataRow="2" firstDataCol="1" rowPageCount="1" colPageCount="1"/>
  <pivotFields count="34">
    <pivotField dataField="1" showAll="0"/>
    <pivotField numFmtId="14" showAll="0"/>
    <pivotField showAll="0"/>
    <pivotField showAll="0"/>
    <pivotField showAll="0"/>
    <pivotField showAll="0"/>
    <pivotField axis="axisCol" multipleItemSelectionAllowed="1" showAll="0">
      <items count="11">
        <item x="0"/>
        <item x="5"/>
        <item x="2"/>
        <item x="4"/>
        <item x="3"/>
        <item x="1"/>
        <item m="1" x="9"/>
        <item h="1" m="1" x="8"/>
        <item m="1" x="7"/>
        <item m="1" x="6"/>
        <item t="default"/>
      </items>
    </pivotField>
    <pivotField axis="axisPage" multipleItemSelectionAllowed="1" showAll="0">
      <items count="8">
        <item x="0"/>
        <item x="1"/>
        <item x="3"/>
        <item x="2"/>
        <item x="4"/>
        <item x="5"/>
        <item x="6"/>
        <item t="default"/>
      </items>
    </pivotField>
    <pivotField showAll="0"/>
    <pivotField showAll="0"/>
    <pivotField showAll="0"/>
    <pivotField showAll="0"/>
    <pivotField showAll="0"/>
    <pivotField showAll="0"/>
    <pivotField showAll="0"/>
    <pivotField axis="axisRow" showAll="0" sortType="ascending">
      <items count="12">
        <item m="1" x="10"/>
        <item x="5"/>
        <item x="7"/>
        <item x="2"/>
        <item x="4"/>
        <item x="1"/>
        <item x="6"/>
        <item x="0"/>
        <item x="3"/>
        <item x="9"/>
        <item x="8"/>
        <item t="default"/>
      </items>
    </pivotField>
    <pivotField numFmtId="14"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s>
  <rowFields count="1">
    <field x="15"/>
  </rowFields>
  <rowItems count="11">
    <i>
      <x v="1"/>
    </i>
    <i>
      <x v="2"/>
    </i>
    <i>
      <x v="3"/>
    </i>
    <i>
      <x v="4"/>
    </i>
    <i>
      <x v="5"/>
    </i>
    <i>
      <x v="6"/>
    </i>
    <i>
      <x v="7"/>
    </i>
    <i>
      <x v="8"/>
    </i>
    <i>
      <x v="9"/>
    </i>
    <i>
      <x v="10"/>
    </i>
    <i t="grand">
      <x/>
    </i>
  </rowItems>
  <colFields count="1">
    <field x="6"/>
  </colFields>
  <colItems count="7">
    <i>
      <x/>
    </i>
    <i>
      <x v="1"/>
    </i>
    <i>
      <x v="2"/>
    </i>
    <i>
      <x v="3"/>
    </i>
    <i>
      <x v="4"/>
    </i>
    <i>
      <x v="5"/>
    </i>
    <i t="grand">
      <x/>
    </i>
  </colItems>
  <pageFields count="1">
    <pageField fld="7" hier="-1"/>
  </pageFields>
  <dataFields count="1">
    <dataField name="Cuenta de Nº" fld="0" subtotal="count" baseField="0" baseItem="0"/>
  </dataFields>
  <formats count="2">
    <format dxfId="7">
      <pivotArea collapsedLevelsAreSubtotals="1" fieldPosition="0">
        <references count="1">
          <reference field="15" count="1">
            <x v="7"/>
          </reference>
        </references>
      </pivotArea>
    </format>
    <format dxfId="6">
      <pivotArea dataOnly="0" labelOnly="1" fieldPosition="0">
        <references count="1">
          <reference field="15" count="1">
            <x v="7"/>
          </reference>
        </references>
      </pivotArea>
    </format>
  </formats>
  <chartFormats count="24">
    <chartFormat chart="23" format="21" series="1">
      <pivotArea type="data" outline="0" fieldPosition="0">
        <references count="1">
          <reference field="4294967294" count="1" selected="0">
            <x v="0"/>
          </reference>
        </references>
      </pivotArea>
    </chartFormat>
    <chartFormat chart="35" format="16" series="1">
      <pivotArea type="data" outline="0" fieldPosition="0">
        <references count="1">
          <reference field="4294967294" count="1" selected="0">
            <x v="0"/>
          </reference>
        </references>
      </pivotArea>
    </chartFormat>
    <chartFormat chart="35" format="21" series="1">
      <pivotArea type="data" outline="0" fieldPosition="0">
        <references count="2">
          <reference field="4294967294" count="1" selected="0">
            <x v="0"/>
          </reference>
          <reference field="6" count="1" selected="0">
            <x v="4"/>
          </reference>
        </references>
      </pivotArea>
    </chartFormat>
    <chartFormat chart="35" format="22" series="1">
      <pivotArea type="data" outline="0" fieldPosition="0">
        <references count="2">
          <reference field="4294967294" count="1" selected="0">
            <x v="0"/>
          </reference>
          <reference field="6" count="1" selected="0">
            <x v="5"/>
          </reference>
        </references>
      </pivotArea>
    </chartFormat>
    <chartFormat chart="23" format="23" series="1">
      <pivotArea type="data" outline="0" fieldPosition="0">
        <references count="2">
          <reference field="4294967294" count="1" selected="0">
            <x v="0"/>
          </reference>
          <reference field="6" count="1" selected="0">
            <x v="4"/>
          </reference>
        </references>
      </pivotArea>
    </chartFormat>
    <chartFormat chart="23" format="24" series="1">
      <pivotArea type="data" outline="0" fieldPosition="0">
        <references count="2">
          <reference field="4294967294" count="1" selected="0">
            <x v="0"/>
          </reference>
          <reference field="6" count="1" selected="0">
            <x v="5"/>
          </reference>
        </references>
      </pivotArea>
    </chartFormat>
    <chartFormat chart="23" format="25" series="1">
      <pivotArea type="data" outline="0" fieldPosition="0">
        <references count="2">
          <reference field="4294967294" count="1" selected="0">
            <x v="0"/>
          </reference>
          <reference field="6" count="1" selected="0">
            <x v="0"/>
          </reference>
        </references>
      </pivotArea>
    </chartFormat>
    <chartFormat chart="61" format="26" series="1">
      <pivotArea type="data" outline="0" fieldPosition="0">
        <references count="2">
          <reference field="4294967294" count="1" selected="0">
            <x v="0"/>
          </reference>
          <reference field="6" count="1" selected="0">
            <x v="0"/>
          </reference>
        </references>
      </pivotArea>
    </chartFormat>
    <chartFormat chart="61" format="27" series="1">
      <pivotArea type="data" outline="0" fieldPosition="0">
        <references count="2">
          <reference field="4294967294" count="1" selected="0">
            <x v="0"/>
          </reference>
          <reference field="6" count="1" selected="0">
            <x v="4"/>
          </reference>
        </references>
      </pivotArea>
    </chartFormat>
    <chartFormat chart="61" format="28" series="1">
      <pivotArea type="data" outline="0" fieldPosition="0">
        <references count="2">
          <reference field="4294967294" count="1" selected="0">
            <x v="0"/>
          </reference>
          <reference field="6" count="1" selected="0">
            <x v="5"/>
          </reference>
        </references>
      </pivotArea>
    </chartFormat>
    <chartFormat chart="62" format="29" series="1">
      <pivotArea type="data" outline="0" fieldPosition="0">
        <references count="2">
          <reference field="4294967294" count="1" selected="0">
            <x v="0"/>
          </reference>
          <reference field="6" count="1" selected="0">
            <x v="0"/>
          </reference>
        </references>
      </pivotArea>
    </chartFormat>
    <chartFormat chart="62" format="30" series="1">
      <pivotArea type="data" outline="0" fieldPosition="0">
        <references count="2">
          <reference field="4294967294" count="1" selected="0">
            <x v="0"/>
          </reference>
          <reference field="6" count="1" selected="0">
            <x v="4"/>
          </reference>
        </references>
      </pivotArea>
    </chartFormat>
    <chartFormat chart="62" format="31" series="1">
      <pivotArea type="data" outline="0" fieldPosition="0">
        <references count="2">
          <reference field="4294967294" count="1" selected="0">
            <x v="0"/>
          </reference>
          <reference field="6" count="1" selected="0">
            <x v="5"/>
          </reference>
        </references>
      </pivotArea>
    </chartFormat>
    <chartFormat chart="35" format="23" series="1">
      <pivotArea type="data" outline="0" fieldPosition="0">
        <references count="2">
          <reference field="4294967294" count="1" selected="0">
            <x v="0"/>
          </reference>
          <reference field="6" count="1" selected="0">
            <x v="0"/>
          </reference>
        </references>
      </pivotArea>
    </chartFormat>
    <chartFormat chart="35" format="27" series="1">
      <pivotArea type="data" outline="0" fieldPosition="0">
        <references count="2">
          <reference field="4294967294" count="1" selected="0">
            <x v="0"/>
          </reference>
          <reference field="6" count="1" selected="0">
            <x v="3"/>
          </reference>
        </references>
      </pivotArea>
    </chartFormat>
    <chartFormat chart="23" format="26" series="1">
      <pivotArea type="data" outline="0" fieldPosition="0">
        <references count="2">
          <reference field="4294967294" count="1" selected="0">
            <x v="0"/>
          </reference>
          <reference field="6" count="1" selected="0">
            <x v="3"/>
          </reference>
        </references>
      </pivotArea>
    </chartFormat>
    <chartFormat chart="23" format="27" series="1">
      <pivotArea type="data" outline="0" fieldPosition="0">
        <references count="2">
          <reference field="4294967294" count="1" selected="0">
            <x v="0"/>
          </reference>
          <reference field="6" count="1" selected="0">
            <x v="1"/>
          </reference>
        </references>
      </pivotArea>
    </chartFormat>
    <chartFormat chart="23" format="28" series="1">
      <pivotArea type="data" outline="0" fieldPosition="0">
        <references count="2">
          <reference field="4294967294" count="1" selected="0">
            <x v="0"/>
          </reference>
          <reference field="6" count="1" selected="0">
            <x v="2"/>
          </reference>
        </references>
      </pivotArea>
    </chartFormat>
    <chartFormat chart="35" format="31" series="1">
      <pivotArea type="data" outline="0" fieldPosition="0">
        <references count="2">
          <reference field="4294967294" count="1" selected="0">
            <x v="0"/>
          </reference>
          <reference field="6" count="1" selected="0">
            <x v="1"/>
          </reference>
        </references>
      </pivotArea>
    </chartFormat>
    <chartFormat chart="35" format="36" series="1">
      <pivotArea type="data" outline="0" fieldPosition="0">
        <references count="2">
          <reference field="4294967294" count="1" selected="0">
            <x v="0"/>
          </reference>
          <reference field="6" count="1" selected="0">
            <x v="2"/>
          </reference>
        </references>
      </pivotArea>
    </chartFormat>
    <chartFormat chart="23" format="29" series="1">
      <pivotArea type="data" outline="0" fieldPosition="0">
        <references count="2">
          <reference field="4294967294" count="1" selected="0">
            <x v="0"/>
          </reference>
          <reference field="6" count="1" selected="0">
            <x v="8"/>
          </reference>
        </references>
      </pivotArea>
    </chartFormat>
    <chartFormat chart="35" format="51" series="1">
      <pivotArea type="data" outline="0" fieldPosition="0">
        <references count="2">
          <reference field="4294967294" count="1" selected="0">
            <x v="0"/>
          </reference>
          <reference field="6" count="1" selected="0">
            <x v="8"/>
          </reference>
        </references>
      </pivotArea>
    </chartFormat>
    <chartFormat chart="23" format="30" series="1">
      <pivotArea type="data" outline="0" fieldPosition="0">
        <references count="2">
          <reference field="4294967294" count="1" selected="0">
            <x v="0"/>
          </reference>
          <reference field="6" count="1" selected="0">
            <x v="9"/>
          </reference>
        </references>
      </pivotArea>
    </chartFormat>
    <chartFormat chart="35" format="60" series="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EDB221-1F7A-4299-A413-002FB394A49F}" name="Tabla6" displayName="Tabla6" ref="B8:Q211" totalsRowShown="0" headerRowDxfId="97" dataDxfId="95" totalsRowDxfId="93" headerRowBorderDxfId="96" tableBorderDxfId="94" totalsRowBorderDxfId="92">
  <autoFilter ref="B8:Q211" xr:uid="{7EEDB221-1F7A-4299-A413-002FB394A49F}"/>
  <tableColumns count="16">
    <tableColumn id="1" xr3:uid="{22F3D475-9D7A-4E2E-9566-26FC228F185C}" name="Nº" dataDxfId="91" totalsRowDxfId="90"/>
    <tableColumn id="2" xr3:uid="{5934E658-3BE4-4342-A742-AFD0EAEBD097}" name="F. Incid." dataDxfId="89" totalsRowDxfId="88"/>
    <tableColumn id="3" xr3:uid="{333DA83F-F400-4BED-B46E-4C0BAF8EE23C}" name="Responsable Cliente" dataDxfId="87" totalsRowDxfId="86"/>
    <tableColumn id="4" xr3:uid="{2214C0AE-808E-4728-901E-0CEAAABAE490}" name="TIPO" dataDxfId="85" totalsRowDxfId="84"/>
    <tableColumn id="5" xr3:uid="{D01CEC0A-A5B0-4DB9-84D1-260D03C1AB7A}" name="Tipo según ALTIM" dataDxfId="83" totalsRowDxfId="82"/>
    <tableColumn id="6" xr3:uid="{DDDB339A-D864-407B-8F3A-064130900A98}" name="Descripción / Documento " dataDxfId="81" totalsRowDxfId="80"/>
    <tableColumn id="7" xr3:uid="{FE63E93E-4226-4C4D-8D08-D01259D3866A}" name="Observaciones" dataDxfId="79" totalsRowDxfId="78"/>
    <tableColumn id="8" xr3:uid="{8D3C6C6F-69F0-49A4-A959-302A0FFB9425}" name="Prioridad" dataDxfId="77" totalsRowDxfId="76"/>
    <tableColumn id="9" xr3:uid="{90F8153A-4953-40F6-9A95-D9421B2FF90D}" name="Comentarios" dataDxfId="75"/>
    <tableColumn id="10" xr3:uid="{45DF5434-4F4A-4346-81C9-71C0174264D9}" name="Sistema" dataDxfId="74"/>
    <tableColumn id="11" xr3:uid="{E063846E-1D52-433A-BC6B-19304F2504F1}" name="Responsable Altim" dataDxfId="73"/>
    <tableColumn id="12" xr3:uid="{0CBF54F1-C13C-46D1-A4EE-1CDB00FCE32C}" name="Estado" dataDxfId="72"/>
    <tableColumn id="13" xr3:uid="{E121F24C-F0E8-46F6-B970-DC227EEEB43B}" name="F.Entrega" dataDxfId="71" totalsRowDxfId="70"/>
    <tableColumn id="14" xr3:uid="{DE8F7EB4-74FE-4DF4-AA50-F01F4AD7100C}" name="F. Cierre_x000a_Prevista" dataDxfId="69" totalsRowDxfId="68"/>
    <tableColumn id="15" xr3:uid="{E5B129BE-B811-439F-9302-4349A8E61488}" name="COMENTARIOS FINALES CONSULTOR" dataDxfId="67" totalsRowDxfId="66"/>
    <tableColumn id="33" xr3:uid="{0A03A9F5-5C67-4B1E-8555-FBADF5B42172}" name="Responsable" dataDxfId="65" totalsRowDxfId="6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030977-3E40-45A0-A6B7-2E1FB1535E3A}" name="Tabla3" displayName="Tabla3" ref="A100:D420" totalsRowShown="0" headerRowDxfId="26" dataDxfId="25">
  <autoFilter ref="A100:D420" xr:uid="{3D030977-3E40-45A0-A6B7-2E1FB1535E3A}"/>
  <tableColumns count="4">
    <tableColumn id="1" xr3:uid="{9682497B-2986-40C7-BF68-4919DCC99E41}" name="Número incidencia" dataDxfId="24">
      <calculatedColumnFormula>Incidencias!B211</calculatedColumnFormula>
    </tableColumn>
    <tableColumn id="2" xr3:uid="{511049CB-BE4D-4111-BF09-7F1B9AD9D5F5}" name="Mes apertura" dataDxfId="23">
      <calculatedColumnFormula>IF(Incidencias!E211="MEJORA",0,MONTH(Incidencias!C211))</calculatedColumnFormula>
    </tableColumn>
    <tableColumn id="3" xr3:uid="{315FD6DD-4E5F-4A72-965D-FC0B8364EC47}" name="Mes resolución" dataDxfId="22">
      <calculatedColumnFormula>IF(Incidencias!M211="Realizado",MONTH(Incidencias!N211),0)</calculatedColumnFormula>
    </tableColumn>
    <tableColumn id="4" xr3:uid="{4F651778-5704-47DF-91A0-142C775A0CE0}" name="Mes cierre" dataDxfId="21">
      <calculatedColumnFormula>IF(Incidencias!M211="Cerrada",MONTH(Incidencias!O211),0)</calculatedColumnFormula>
    </tableColumn>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E2118-CF80-462E-851D-FD33CACEE194}" name="Tabla35" displayName="Tabla35" ref="P100:R420" totalsRowShown="0" headerRowDxfId="20" dataDxfId="19">
  <autoFilter ref="P100:R420" xr:uid="{8ABE2118-CF80-462E-851D-FD33CACEE194}"/>
  <tableColumns count="3">
    <tableColumn id="1" xr3:uid="{33DD4916-9FC0-4DBA-9F7F-E55050CA6DFC}" name="Número incidencia" dataDxfId="18">
      <calculatedColumnFormula>Incidencias!B211</calculatedColumnFormula>
    </tableColumn>
    <tableColumn id="2" xr3:uid="{77171668-8D23-4F7B-8E19-5AD1A24DAD78}" name="Semana apertura" dataDxfId="17">
      <calculatedColumnFormula>IF(Incidencias!E211="MEJORA",0,WEEKNUM(Incidencias!C211))</calculatedColumnFormula>
    </tableColumn>
    <tableColumn id="3" xr3:uid="{1D29B229-E308-4D77-8015-9C0AE0D1927F}" name="Semana resolución" dataDxfId="16">
      <calculatedColumnFormula>WEEKNUM(Incidencias!N211)</calculatedColumnFormula>
    </tableColumn>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F6372D-8DFC-4E88-AF4B-D6498CCF8E7D}" name="Tabla2" displayName="Tabla2" ref="A1:E1048576" totalsRowShown="0" headerRowDxfId="15" dataDxfId="14" tableBorderDxfId="13">
  <autoFilter ref="A1:E1048576" xr:uid="{B3F6372D-8DFC-4E88-AF4B-D6498CCF8E7D}"/>
  <tableColumns count="5">
    <tableColumn id="1" xr3:uid="{FF184872-BEE0-4BC1-9A0C-FDDDE0E02E8B}" name="Número incidencia" dataDxfId="12"/>
    <tableColumn id="2" xr3:uid="{348C76D8-B24A-4CD5-A876-F774CBA13F5F}" name="Tipo" dataDxfId="11"/>
    <tableColumn id="3" xr3:uid="{F7ADDDDD-A4CE-4416-A1A5-085C90B7AF2B}" name="Estado" dataDxfId="10"/>
    <tableColumn id="4" xr3:uid="{7D284767-6762-4A00-B67B-1AF75D0FE512}" name="Bloqueante" dataDxfId="9"/>
    <tableColumn id="5" xr3:uid="{73E65929-D7FB-49A4-8EE3-D50D3556B1C0}" name="Error usuario" dataDxfId="8"/>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5.xml"/><Relationship Id="rId7"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3.bin"/><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788F-ED42-475D-A20E-38B2BCF01A57}">
  <dimension ref="B2:L14"/>
  <sheetViews>
    <sheetView topLeftCell="F13" workbookViewId="0">
      <selection activeCell="J3" sqref="J3:L14"/>
    </sheetView>
  </sheetViews>
  <sheetFormatPr baseColWidth="10" defaultColWidth="11.44140625" defaultRowHeight="14.4" x14ac:dyDescent="0.3"/>
  <cols>
    <col min="3" max="4" width="13.6640625" bestFit="1" customWidth="1"/>
    <col min="6" max="6" width="25.6640625" style="118" customWidth="1"/>
    <col min="7" max="7" width="11" bestFit="1" customWidth="1"/>
    <col min="10" max="10" width="19.5546875" bestFit="1" customWidth="1"/>
    <col min="11" max="11" width="11" style="122" bestFit="1" customWidth="1"/>
    <col min="12" max="12" width="13.6640625" style="122" bestFit="1" customWidth="1"/>
  </cols>
  <sheetData>
    <row r="2" spans="2:12" ht="15" thickBot="1" x14ac:dyDescent="0.35"/>
    <row r="3" spans="2:12" x14ac:dyDescent="0.3">
      <c r="B3" s="119" t="s">
        <v>0</v>
      </c>
      <c r="C3" s="120">
        <v>45782</v>
      </c>
      <c r="D3" s="121">
        <v>45828</v>
      </c>
      <c r="F3" s="142" t="s">
        <v>1</v>
      </c>
      <c r="G3" s="120">
        <v>45782</v>
      </c>
      <c r="H3" s="121">
        <v>45828</v>
      </c>
      <c r="J3" s="119" t="s">
        <v>0</v>
      </c>
      <c r="K3" s="120">
        <v>45782</v>
      </c>
      <c r="L3" s="121">
        <v>45828</v>
      </c>
    </row>
    <row r="4" spans="2:12" s="126" customFormat="1" x14ac:dyDescent="0.3">
      <c r="B4" s="123" t="s">
        <v>2</v>
      </c>
      <c r="C4" s="124"/>
      <c r="D4" s="125">
        <v>3</v>
      </c>
      <c r="F4" s="127" t="s">
        <v>3</v>
      </c>
      <c r="G4" s="124">
        <v>33</v>
      </c>
      <c r="H4" s="125">
        <v>69</v>
      </c>
      <c r="J4" s="128" t="s">
        <v>4</v>
      </c>
      <c r="K4" s="129">
        <v>5</v>
      </c>
      <c r="L4" s="130">
        <v>25</v>
      </c>
    </row>
    <row r="5" spans="2:12" s="126" customFormat="1" x14ac:dyDescent="0.3">
      <c r="B5" s="123" t="s">
        <v>5</v>
      </c>
      <c r="C5" s="124">
        <v>14</v>
      </c>
      <c r="D5" s="125">
        <v>91</v>
      </c>
      <c r="F5" s="127" t="s">
        <v>6</v>
      </c>
      <c r="G5" s="124">
        <v>5</v>
      </c>
      <c r="H5" s="125">
        <v>9</v>
      </c>
      <c r="J5" s="128" t="s">
        <v>7</v>
      </c>
      <c r="K5" s="129"/>
      <c r="L5" s="130">
        <v>12</v>
      </c>
    </row>
    <row r="6" spans="2:12" s="126" customFormat="1" x14ac:dyDescent="0.3">
      <c r="B6" s="123" t="s">
        <v>8</v>
      </c>
      <c r="C6" s="124">
        <v>18</v>
      </c>
      <c r="D6" s="125">
        <v>43</v>
      </c>
      <c r="F6" s="127" t="s">
        <v>9</v>
      </c>
      <c r="G6" s="124">
        <v>22</v>
      </c>
      <c r="H6" s="125">
        <v>51</v>
      </c>
      <c r="J6" s="128" t="s">
        <v>10</v>
      </c>
      <c r="K6" s="129"/>
      <c r="L6" s="130">
        <v>50</v>
      </c>
    </row>
    <row r="7" spans="2:12" s="126" customFormat="1" ht="15" thickBot="1" x14ac:dyDescent="0.35">
      <c r="B7" s="137" t="s">
        <v>11</v>
      </c>
      <c r="C7" s="138">
        <v>47</v>
      </c>
      <c r="D7" s="139">
        <v>46</v>
      </c>
      <c r="F7" s="127" t="s">
        <v>12</v>
      </c>
      <c r="G7" s="124">
        <v>19</v>
      </c>
      <c r="H7" s="125">
        <v>49</v>
      </c>
      <c r="J7" s="128" t="s">
        <v>13</v>
      </c>
      <c r="K7" s="129"/>
      <c r="L7" s="130">
        <v>7</v>
      </c>
    </row>
    <row r="8" spans="2:12" s="126" customFormat="1" ht="15" thickBot="1" x14ac:dyDescent="0.35">
      <c r="B8" s="140" t="s">
        <v>14</v>
      </c>
      <c r="C8" s="144">
        <f>SUM(C4:C7)</f>
        <v>79</v>
      </c>
      <c r="D8" s="136">
        <f>SUM(D4:D7)</f>
        <v>183</v>
      </c>
      <c r="F8" s="127" t="s">
        <v>15</v>
      </c>
      <c r="G8" s="124"/>
      <c r="H8" s="125">
        <v>1</v>
      </c>
      <c r="J8" s="128" t="s">
        <v>16</v>
      </c>
      <c r="K8" s="129"/>
      <c r="L8" s="130">
        <v>18</v>
      </c>
    </row>
    <row r="9" spans="2:12" s="126" customFormat="1" ht="15" thickBot="1" x14ac:dyDescent="0.35">
      <c r="F9" s="143" t="s">
        <v>17</v>
      </c>
      <c r="G9" s="138"/>
      <c r="H9" s="139">
        <v>4</v>
      </c>
      <c r="J9" s="128" t="s">
        <v>18</v>
      </c>
      <c r="K9" s="129"/>
      <c r="L9" s="130">
        <v>2</v>
      </c>
    </row>
    <row r="10" spans="2:12" s="126" customFormat="1" ht="15" thickBot="1" x14ac:dyDescent="0.35">
      <c r="F10" s="141" t="s">
        <v>19</v>
      </c>
      <c r="G10" s="144">
        <v>79</v>
      </c>
      <c r="H10" s="136">
        <f>SUM(H4:H9)</f>
        <v>183</v>
      </c>
      <c r="J10" s="128" t="s">
        <v>20</v>
      </c>
      <c r="K10" s="129"/>
      <c r="L10" s="130">
        <v>15</v>
      </c>
    </row>
    <row r="11" spans="2:12" s="126" customFormat="1" x14ac:dyDescent="0.3">
      <c r="F11" s="131"/>
      <c r="J11" s="128" t="s">
        <v>21</v>
      </c>
      <c r="K11" s="129">
        <v>74</v>
      </c>
      <c r="L11" s="130">
        <v>51</v>
      </c>
    </row>
    <row r="12" spans="2:12" s="126" customFormat="1" x14ac:dyDescent="0.3">
      <c r="F12" s="131"/>
      <c r="J12" s="128" t="s">
        <v>22</v>
      </c>
      <c r="K12" s="129"/>
      <c r="L12" s="130">
        <v>2</v>
      </c>
    </row>
    <row r="13" spans="2:12" s="126" customFormat="1" ht="15" thickBot="1" x14ac:dyDescent="0.35">
      <c r="F13" s="131"/>
      <c r="J13" s="132" t="s">
        <v>23</v>
      </c>
      <c r="K13" s="133"/>
      <c r="L13" s="134">
        <v>1</v>
      </c>
    </row>
    <row r="14" spans="2:12" s="126" customFormat="1" ht="15" thickBot="1" x14ac:dyDescent="0.35">
      <c r="F14" s="131"/>
      <c r="J14" s="135" t="s">
        <v>14</v>
      </c>
      <c r="K14" s="144">
        <f>SUM(K4:K13)</f>
        <v>79</v>
      </c>
      <c r="L14" s="136">
        <f>SUM(L4:L13)</f>
        <v>183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HO211"/>
  <sheetViews>
    <sheetView showGridLines="0" tabSelected="1" zoomScale="113" zoomScaleNormal="110" zoomScaleSheetLayoutView="80" workbookViewId="0">
      <pane xSplit="3" ySplit="8" topLeftCell="D72" activePane="bottomRight" state="frozen"/>
      <selection pane="topRight" activeCell="B1" sqref="B1"/>
      <selection pane="bottomLeft" activeCell="A4" sqref="A4"/>
      <selection pane="bottomRight" activeCell="Q1" sqref="Q1:Q1048576"/>
    </sheetView>
  </sheetViews>
  <sheetFormatPr baseColWidth="10" defaultColWidth="11.5546875" defaultRowHeight="14.25" customHeight="1" x14ac:dyDescent="0.3"/>
  <cols>
    <col min="1" max="1" width="11.5546875" style="35"/>
    <col min="2" max="2" width="10.33203125" style="201" customWidth="1"/>
    <col min="3" max="3" width="10" style="146" customWidth="1"/>
    <col min="4" max="4" width="20.88671875" style="147" customWidth="1"/>
    <col min="5" max="5" width="10.109375" style="116" customWidth="1"/>
    <col min="6" max="6" width="12.5546875" style="34" customWidth="1"/>
    <col min="7" max="7" width="55.109375" style="34" customWidth="1"/>
    <col min="8" max="8" width="33.88671875" style="52" customWidth="1"/>
    <col min="9" max="9" width="12.109375" style="34" customWidth="1"/>
    <col min="10" max="10" width="57.33203125" style="34" customWidth="1"/>
    <col min="11" max="11" width="7.6640625" style="34" customWidth="1"/>
    <col min="12" max="12" width="19.5546875" style="148" customWidth="1"/>
    <col min="13" max="13" width="10.33203125" style="148" customWidth="1"/>
    <col min="14" max="14" width="12.88671875" style="149" customWidth="1"/>
    <col min="15" max="15" width="16.6640625" style="149" customWidth="1"/>
    <col min="16" max="16" width="15.44140625" style="150" customWidth="1"/>
    <col min="17" max="17" width="22.109375" style="35" customWidth="1"/>
    <col min="18" max="16384" width="11.5546875" style="35"/>
  </cols>
  <sheetData>
    <row r="8" spans="1:223" s="37" customFormat="1" ht="26.4" customHeight="1" x14ac:dyDescent="0.3">
      <c r="A8" s="151" t="s">
        <v>468</v>
      </c>
      <c r="B8" s="151" t="s">
        <v>24</v>
      </c>
      <c r="C8" s="152" t="s">
        <v>25</v>
      </c>
      <c r="D8" s="153" t="s">
        <v>469</v>
      </c>
      <c r="E8" s="154" t="s">
        <v>26</v>
      </c>
      <c r="F8" s="155" t="s">
        <v>27</v>
      </c>
      <c r="G8" s="154" t="s">
        <v>29</v>
      </c>
      <c r="H8" s="154" t="s">
        <v>30</v>
      </c>
      <c r="I8" s="154" t="s">
        <v>0</v>
      </c>
      <c r="J8" s="156" t="s">
        <v>31</v>
      </c>
      <c r="K8" s="156" t="s">
        <v>32</v>
      </c>
      <c r="L8" s="157" t="s">
        <v>33</v>
      </c>
      <c r="M8" s="157" t="s">
        <v>34</v>
      </c>
      <c r="N8" s="158" t="s">
        <v>35</v>
      </c>
      <c r="O8" s="158" t="s">
        <v>36</v>
      </c>
      <c r="P8" s="159" t="s">
        <v>37</v>
      </c>
      <c r="Q8" s="160" t="s">
        <v>38</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row>
    <row r="9" spans="1:223" s="52" customFormat="1" ht="21.6" customHeight="1" x14ac:dyDescent="0.3">
      <c r="A9" s="48"/>
      <c r="B9" s="202" t="s">
        <v>39</v>
      </c>
      <c r="C9" s="186">
        <v>46035</v>
      </c>
      <c r="D9" s="188" t="s">
        <v>40</v>
      </c>
      <c r="E9" s="189" t="s">
        <v>41</v>
      </c>
      <c r="F9" s="190" t="s">
        <v>129</v>
      </c>
      <c r="G9" s="190" t="s">
        <v>44</v>
      </c>
      <c r="H9" s="190" t="s">
        <v>460</v>
      </c>
      <c r="I9" s="190" t="s">
        <v>8</v>
      </c>
      <c r="J9" s="180" t="s">
        <v>46</v>
      </c>
      <c r="K9" s="180"/>
      <c r="L9" s="178" t="s">
        <v>47</v>
      </c>
      <c r="M9" s="178" t="s">
        <v>4</v>
      </c>
      <c r="N9" s="161"/>
      <c r="O9" s="161">
        <v>46037</v>
      </c>
      <c r="P9" s="166" t="s">
        <v>459</v>
      </c>
      <c r="Q9" s="166"/>
    </row>
    <row r="10" spans="1:223" s="52" customFormat="1" ht="21.6" customHeight="1" x14ac:dyDescent="0.3">
      <c r="A10" s="48"/>
      <c r="B10" s="202" t="s">
        <v>49</v>
      </c>
      <c r="C10" s="186">
        <v>46035</v>
      </c>
      <c r="D10" s="188" t="s">
        <v>40</v>
      </c>
      <c r="E10" s="190" t="s">
        <v>50</v>
      </c>
      <c r="F10" s="190" t="s">
        <v>50</v>
      </c>
      <c r="G10" s="190" t="s">
        <v>51</v>
      </c>
      <c r="H10" s="190"/>
      <c r="I10" s="190" t="s">
        <v>8</v>
      </c>
      <c r="J10" s="180" t="s">
        <v>52</v>
      </c>
      <c r="K10" s="180"/>
      <c r="L10" s="178" t="s">
        <v>53</v>
      </c>
      <c r="M10" s="178" t="s">
        <v>54</v>
      </c>
      <c r="N10" s="161">
        <v>46038</v>
      </c>
      <c r="O10" s="161">
        <v>46037</v>
      </c>
      <c r="P10" s="166"/>
      <c r="Q10" s="166"/>
    </row>
    <row r="11" spans="1:223" ht="21.6" customHeight="1" x14ac:dyDescent="0.3">
      <c r="A11" s="49"/>
      <c r="B11" s="202" t="s">
        <v>55</v>
      </c>
      <c r="C11" s="186">
        <v>46034</v>
      </c>
      <c r="D11" s="188" t="s">
        <v>40</v>
      </c>
      <c r="E11" s="190" t="s">
        <v>50</v>
      </c>
      <c r="F11" s="190" t="s">
        <v>50</v>
      </c>
      <c r="G11" s="190" t="s">
        <v>57</v>
      </c>
      <c r="H11" s="190"/>
      <c r="I11" s="190" t="s">
        <v>11</v>
      </c>
      <c r="J11" s="177" t="s">
        <v>58</v>
      </c>
      <c r="K11" s="180"/>
      <c r="L11" s="178" t="s">
        <v>59</v>
      </c>
      <c r="M11" s="178" t="s">
        <v>54</v>
      </c>
      <c r="N11" s="161"/>
      <c r="O11" s="161">
        <v>46038</v>
      </c>
      <c r="P11" s="166"/>
      <c r="Q11" s="166"/>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row>
    <row r="12" spans="1:223" s="52" customFormat="1" ht="21.6" customHeight="1" x14ac:dyDescent="0.3">
      <c r="A12" s="48"/>
      <c r="B12" s="202" t="s">
        <v>60</v>
      </c>
      <c r="C12" s="186">
        <v>46034</v>
      </c>
      <c r="D12" s="188" t="s">
        <v>61</v>
      </c>
      <c r="E12" s="190" t="s">
        <v>50</v>
      </c>
      <c r="F12" s="190" t="s">
        <v>50</v>
      </c>
      <c r="G12" s="190" t="s">
        <v>62</v>
      </c>
      <c r="H12" s="190"/>
      <c r="I12" s="190" t="s">
        <v>8</v>
      </c>
      <c r="J12" s="177" t="s">
        <v>63</v>
      </c>
      <c r="K12" s="180"/>
      <c r="L12" s="178" t="s">
        <v>64</v>
      </c>
      <c r="M12" s="181" t="s">
        <v>54</v>
      </c>
      <c r="N12" s="161"/>
      <c r="O12" s="161">
        <v>46038</v>
      </c>
      <c r="P12" s="166"/>
      <c r="Q12" s="166"/>
    </row>
    <row r="13" spans="1:223" ht="21.6" customHeight="1" x14ac:dyDescent="0.3">
      <c r="A13" s="49"/>
      <c r="B13" s="202" t="s">
        <v>65</v>
      </c>
      <c r="C13" s="186">
        <v>46034</v>
      </c>
      <c r="D13" s="188" t="s">
        <v>66</v>
      </c>
      <c r="E13" s="190" t="s">
        <v>41</v>
      </c>
      <c r="F13" s="190" t="s">
        <v>67</v>
      </c>
      <c r="G13" s="190" t="s">
        <v>68</v>
      </c>
      <c r="H13" s="190"/>
      <c r="I13" s="190" t="s">
        <v>5</v>
      </c>
      <c r="J13" s="180" t="s">
        <v>69</v>
      </c>
      <c r="K13" s="180"/>
      <c r="L13" s="178" t="s">
        <v>70</v>
      </c>
      <c r="M13" s="178" t="s">
        <v>71</v>
      </c>
      <c r="N13" s="161"/>
      <c r="O13" s="161"/>
      <c r="P13" s="166"/>
      <c r="Q13" s="166"/>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row>
    <row r="14" spans="1:223" s="52" customFormat="1" ht="21.6" customHeight="1" x14ac:dyDescent="0.3">
      <c r="A14" s="48"/>
      <c r="B14" s="202" t="s">
        <v>72</v>
      </c>
      <c r="C14" s="186">
        <v>46034</v>
      </c>
      <c r="D14" s="188" t="s">
        <v>61</v>
      </c>
      <c r="E14" s="190" t="s">
        <v>50</v>
      </c>
      <c r="F14" s="190" t="s">
        <v>50</v>
      </c>
      <c r="G14" s="190" t="s">
        <v>73</v>
      </c>
      <c r="H14" s="190" t="s">
        <v>74</v>
      </c>
      <c r="I14" s="190" t="s">
        <v>5</v>
      </c>
      <c r="J14" s="177" t="s">
        <v>75</v>
      </c>
      <c r="K14" s="180"/>
      <c r="L14" s="178" t="s">
        <v>76</v>
      </c>
      <c r="M14" s="178" t="s">
        <v>54</v>
      </c>
      <c r="N14" s="161"/>
      <c r="O14" s="161">
        <v>46041</v>
      </c>
      <c r="P14" s="166"/>
      <c r="Q14" s="166"/>
    </row>
    <row r="15" spans="1:223" s="52" customFormat="1" ht="21.6" customHeight="1" x14ac:dyDescent="0.3">
      <c r="A15" s="48"/>
      <c r="B15" s="202" t="s">
        <v>77</v>
      </c>
      <c r="C15" s="191">
        <v>46034</v>
      </c>
      <c r="D15" s="188" t="s">
        <v>61</v>
      </c>
      <c r="E15" s="189" t="s">
        <v>50</v>
      </c>
      <c r="F15" s="190" t="s">
        <v>50</v>
      </c>
      <c r="G15" s="190" t="s">
        <v>78</v>
      </c>
      <c r="H15" s="190"/>
      <c r="I15" s="190" t="s">
        <v>5</v>
      </c>
      <c r="J15" s="180" t="s">
        <v>79</v>
      </c>
      <c r="K15" s="179"/>
      <c r="L15" s="181" t="s">
        <v>76</v>
      </c>
      <c r="M15" s="181" t="s">
        <v>54</v>
      </c>
      <c r="N15" s="161"/>
      <c r="O15" s="162">
        <v>46041</v>
      </c>
      <c r="P15" s="166"/>
      <c r="Q15" s="166"/>
    </row>
    <row r="16" spans="1:223" s="52" customFormat="1" ht="21.6" customHeight="1" x14ac:dyDescent="0.3">
      <c r="A16" s="48"/>
      <c r="B16" s="202" t="s">
        <v>80</v>
      </c>
      <c r="C16" s="191">
        <v>46034</v>
      </c>
      <c r="D16" s="188" t="s">
        <v>66</v>
      </c>
      <c r="E16" s="189" t="s">
        <v>41</v>
      </c>
      <c r="F16" s="190" t="s">
        <v>41</v>
      </c>
      <c r="G16" s="190" t="s">
        <v>81</v>
      </c>
      <c r="H16" s="190"/>
      <c r="I16" s="190" t="s">
        <v>5</v>
      </c>
      <c r="J16" s="180" t="s">
        <v>82</v>
      </c>
      <c r="K16" s="179"/>
      <c r="L16" s="181" t="s">
        <v>76</v>
      </c>
      <c r="M16" s="178" t="s">
        <v>54</v>
      </c>
      <c r="N16" s="161"/>
      <c r="O16" s="162">
        <v>46042</v>
      </c>
      <c r="P16" s="166"/>
      <c r="Q16" s="166"/>
    </row>
    <row r="17" spans="1:17" s="52" customFormat="1" ht="21.6" customHeight="1" x14ac:dyDescent="0.3">
      <c r="A17" s="48"/>
      <c r="B17" s="202" t="s">
        <v>83</v>
      </c>
      <c r="C17" s="191">
        <v>46034</v>
      </c>
      <c r="D17" s="188" t="s">
        <v>84</v>
      </c>
      <c r="E17" s="189" t="s">
        <v>50</v>
      </c>
      <c r="F17" s="190" t="s">
        <v>50</v>
      </c>
      <c r="G17" s="190" t="s">
        <v>85</v>
      </c>
      <c r="H17" s="190"/>
      <c r="I17" s="190" t="s">
        <v>5</v>
      </c>
      <c r="J17" s="180" t="s">
        <v>79</v>
      </c>
      <c r="K17" s="179"/>
      <c r="L17" s="181" t="s">
        <v>86</v>
      </c>
      <c r="M17" s="181" t="s">
        <v>54</v>
      </c>
      <c r="N17" s="161"/>
      <c r="O17" s="162">
        <v>46042</v>
      </c>
      <c r="P17" s="166"/>
      <c r="Q17" s="166"/>
    </row>
    <row r="18" spans="1:17" s="52" customFormat="1" ht="21.6" customHeight="1" x14ac:dyDescent="0.3">
      <c r="A18" s="48"/>
      <c r="B18" s="202" t="s">
        <v>87</v>
      </c>
      <c r="C18" s="191">
        <v>46031</v>
      </c>
      <c r="D18" s="188" t="s">
        <v>84</v>
      </c>
      <c r="E18" s="189" t="s">
        <v>41</v>
      </c>
      <c r="F18" s="190" t="s">
        <v>41</v>
      </c>
      <c r="G18" s="190" t="s">
        <v>88</v>
      </c>
      <c r="H18" s="190"/>
      <c r="I18" s="190" t="s">
        <v>8</v>
      </c>
      <c r="J18" s="180" t="s">
        <v>89</v>
      </c>
      <c r="K18" s="179"/>
      <c r="L18" s="178" t="s">
        <v>70</v>
      </c>
      <c r="M18" s="181" t="s">
        <v>54</v>
      </c>
      <c r="N18" s="162"/>
      <c r="O18" s="162">
        <v>46045</v>
      </c>
      <c r="P18" s="166"/>
      <c r="Q18" s="166"/>
    </row>
    <row r="19" spans="1:17" s="52" customFormat="1" ht="21.6" customHeight="1" x14ac:dyDescent="0.3">
      <c r="A19" s="48"/>
      <c r="B19" s="202" t="s">
        <v>90</v>
      </c>
      <c r="C19" s="191">
        <v>46031</v>
      </c>
      <c r="D19" s="188" t="s">
        <v>84</v>
      </c>
      <c r="E19" s="189" t="s">
        <v>41</v>
      </c>
      <c r="F19" s="190" t="s">
        <v>41</v>
      </c>
      <c r="G19" s="190" t="s">
        <v>91</v>
      </c>
      <c r="H19" s="190"/>
      <c r="I19" s="190" t="s">
        <v>8</v>
      </c>
      <c r="J19" s="180" t="s">
        <v>89</v>
      </c>
      <c r="K19" s="179"/>
      <c r="L19" s="178" t="s">
        <v>70</v>
      </c>
      <c r="M19" s="181" t="s">
        <v>54</v>
      </c>
      <c r="N19" s="161"/>
      <c r="O19" s="162">
        <v>46045</v>
      </c>
      <c r="P19" s="166"/>
      <c r="Q19" s="166"/>
    </row>
    <row r="20" spans="1:17" s="52" customFormat="1" ht="21.6" customHeight="1" x14ac:dyDescent="0.3">
      <c r="A20" s="48"/>
      <c r="B20" s="202" t="s">
        <v>92</v>
      </c>
      <c r="C20" s="191">
        <v>46038</v>
      </c>
      <c r="D20" s="188" t="s">
        <v>84</v>
      </c>
      <c r="E20" s="189" t="s">
        <v>41</v>
      </c>
      <c r="F20" s="190" t="s">
        <v>67</v>
      </c>
      <c r="G20" s="190" t="s">
        <v>94</v>
      </c>
      <c r="H20" s="190" t="s">
        <v>95</v>
      </c>
      <c r="I20" s="190" t="s">
        <v>8</v>
      </c>
      <c r="J20" s="180" t="s">
        <v>96</v>
      </c>
      <c r="K20" s="179"/>
      <c r="L20" s="181" t="s">
        <v>97</v>
      </c>
      <c r="M20" s="178" t="s">
        <v>71</v>
      </c>
      <c r="N20" s="161"/>
      <c r="O20" s="162">
        <v>46050</v>
      </c>
      <c r="P20" s="166" t="s">
        <v>98</v>
      </c>
      <c r="Q20" s="166"/>
    </row>
    <row r="21" spans="1:17" s="52" customFormat="1" ht="21.6" customHeight="1" x14ac:dyDescent="0.3">
      <c r="A21" s="48"/>
      <c r="B21" s="202" t="s">
        <v>99</v>
      </c>
      <c r="C21" s="191">
        <v>46038</v>
      </c>
      <c r="D21" s="188" t="s">
        <v>100</v>
      </c>
      <c r="E21" s="190" t="s">
        <v>41</v>
      </c>
      <c r="F21" s="190" t="s">
        <v>67</v>
      </c>
      <c r="G21" s="190" t="s">
        <v>101</v>
      </c>
      <c r="H21" s="190" t="s">
        <v>95</v>
      </c>
      <c r="I21" s="190" t="s">
        <v>8</v>
      </c>
      <c r="J21" s="180" t="s">
        <v>102</v>
      </c>
      <c r="K21" s="180"/>
      <c r="L21" s="181" t="s">
        <v>97</v>
      </c>
      <c r="M21" s="178" t="s">
        <v>71</v>
      </c>
      <c r="N21" s="161"/>
      <c r="O21" s="162">
        <v>46050</v>
      </c>
      <c r="P21" s="166" t="s">
        <v>103</v>
      </c>
      <c r="Q21" s="166"/>
    </row>
    <row r="22" spans="1:17" s="52" customFormat="1" ht="21.6" customHeight="1" x14ac:dyDescent="0.3">
      <c r="A22" s="48"/>
      <c r="B22" s="202" t="s">
        <v>461</v>
      </c>
      <c r="C22" s="191">
        <v>46049</v>
      </c>
      <c r="D22" s="188" t="s">
        <v>61</v>
      </c>
      <c r="E22" s="190" t="s">
        <v>50</v>
      </c>
      <c r="F22" s="190" t="s">
        <v>50</v>
      </c>
      <c r="G22" s="190" t="s">
        <v>462</v>
      </c>
      <c r="H22" s="190"/>
      <c r="I22" s="190" t="s">
        <v>5</v>
      </c>
      <c r="J22" s="180"/>
      <c r="K22" s="180"/>
      <c r="L22" s="181" t="s">
        <v>76</v>
      </c>
      <c r="M22" s="178" t="s">
        <v>71</v>
      </c>
      <c r="N22" s="161"/>
      <c r="O22" s="162">
        <v>46052</v>
      </c>
      <c r="P22" s="163"/>
      <c r="Q22" s="166"/>
    </row>
    <row r="23" spans="1:17" s="52" customFormat="1" ht="21.6" customHeight="1" x14ac:dyDescent="0.3">
      <c r="A23" s="48"/>
      <c r="B23" s="202" t="s">
        <v>463</v>
      </c>
      <c r="C23" s="191">
        <v>46044</v>
      </c>
      <c r="D23" s="188" t="s">
        <v>66</v>
      </c>
      <c r="E23" s="189" t="s">
        <v>41</v>
      </c>
      <c r="F23" s="190" t="s">
        <v>41</v>
      </c>
      <c r="G23" s="190" t="s">
        <v>464</v>
      </c>
      <c r="H23" s="190"/>
      <c r="I23" s="190" t="s">
        <v>5</v>
      </c>
      <c r="J23" s="180"/>
      <c r="K23" s="179"/>
      <c r="L23" s="181" t="s">
        <v>76</v>
      </c>
      <c r="M23" s="178" t="s">
        <v>54</v>
      </c>
      <c r="N23" s="162"/>
      <c r="O23" s="162">
        <v>46051</v>
      </c>
      <c r="P23" s="163"/>
      <c r="Q23" s="166"/>
    </row>
    <row r="24" spans="1:17" s="168" customFormat="1" ht="21.6" customHeight="1" x14ac:dyDescent="0.3">
      <c r="A24" s="210"/>
      <c r="B24" s="202" t="s">
        <v>465</v>
      </c>
      <c r="C24" s="186">
        <v>46044</v>
      </c>
      <c r="D24" s="188" t="s">
        <v>84</v>
      </c>
      <c r="E24" s="189" t="s">
        <v>41</v>
      </c>
      <c r="F24" s="190" t="s">
        <v>129</v>
      </c>
      <c r="G24" s="190" t="s">
        <v>466</v>
      </c>
      <c r="H24" s="190"/>
      <c r="I24" s="190" t="s">
        <v>5</v>
      </c>
      <c r="J24" s="180" t="s">
        <v>467</v>
      </c>
      <c r="K24" s="179"/>
      <c r="L24" s="178" t="s">
        <v>53</v>
      </c>
      <c r="M24" s="178" t="s">
        <v>71</v>
      </c>
      <c r="N24" s="162"/>
      <c r="O24" s="161"/>
      <c r="P24" s="163"/>
      <c r="Q24" s="166"/>
    </row>
    <row r="25" spans="1:17" s="52" customFormat="1" ht="21.6" customHeight="1" x14ac:dyDescent="0.3">
      <c r="A25" s="48"/>
      <c r="B25" s="202"/>
      <c r="C25" s="191"/>
      <c r="D25" s="188"/>
      <c r="E25" s="189"/>
      <c r="F25" s="190"/>
      <c r="G25" s="190"/>
      <c r="H25" s="190"/>
      <c r="I25" s="190"/>
      <c r="J25" s="180"/>
      <c r="K25" s="179"/>
      <c r="L25" s="181"/>
      <c r="M25" s="178"/>
      <c r="N25" s="162"/>
      <c r="O25" s="162"/>
      <c r="P25" s="163"/>
      <c r="Q25" s="166"/>
    </row>
    <row r="26" spans="1:17" s="52" customFormat="1" ht="21.6" customHeight="1" x14ac:dyDescent="0.3">
      <c r="A26" s="48"/>
      <c r="B26" s="203"/>
      <c r="C26" s="191"/>
      <c r="D26" s="188"/>
      <c r="E26" s="190"/>
      <c r="F26" s="190"/>
      <c r="G26" s="190"/>
      <c r="H26" s="190"/>
      <c r="I26" s="190"/>
      <c r="J26" s="180"/>
      <c r="K26" s="180"/>
      <c r="L26" s="178"/>
      <c r="M26" s="181"/>
      <c r="N26" s="162"/>
      <c r="O26" s="162"/>
      <c r="P26" s="163"/>
      <c r="Q26" s="166"/>
    </row>
    <row r="27" spans="1:17" s="52" customFormat="1" ht="21.6" customHeight="1" x14ac:dyDescent="0.3">
      <c r="A27" s="48"/>
      <c r="B27" s="202"/>
      <c r="C27" s="191"/>
      <c r="D27" s="188"/>
      <c r="E27" s="189"/>
      <c r="F27" s="190"/>
      <c r="G27" s="190"/>
      <c r="H27" s="190"/>
      <c r="I27" s="190"/>
      <c r="J27" s="180"/>
      <c r="K27" s="179"/>
      <c r="L27" s="181"/>
      <c r="M27" s="178"/>
      <c r="N27" s="162"/>
      <c r="O27" s="162"/>
      <c r="P27" s="163"/>
      <c r="Q27" s="166"/>
    </row>
    <row r="28" spans="1:17" s="52" customFormat="1" ht="21.6" customHeight="1" x14ac:dyDescent="0.3">
      <c r="A28" s="48"/>
      <c r="B28" s="202"/>
      <c r="C28" s="191"/>
      <c r="D28" s="188"/>
      <c r="E28" s="189"/>
      <c r="F28" s="190"/>
      <c r="G28" s="190"/>
      <c r="H28" s="190"/>
      <c r="I28" s="190"/>
      <c r="J28" s="180"/>
      <c r="K28" s="179"/>
      <c r="L28" s="181"/>
      <c r="M28" s="181"/>
      <c r="N28" s="162"/>
      <c r="O28" s="162"/>
      <c r="P28" s="163"/>
      <c r="Q28" s="166"/>
    </row>
    <row r="29" spans="1:17" s="52" customFormat="1" ht="21.6" customHeight="1" x14ac:dyDescent="0.3">
      <c r="A29" s="48"/>
      <c r="B29" s="202"/>
      <c r="C29" s="186"/>
      <c r="D29" s="188"/>
      <c r="E29" s="190"/>
      <c r="F29" s="190"/>
      <c r="G29" s="190"/>
      <c r="H29" s="190"/>
      <c r="I29" s="190"/>
      <c r="J29" s="180"/>
      <c r="K29" s="180"/>
      <c r="L29" s="178"/>
      <c r="M29" s="181"/>
      <c r="N29" s="162"/>
      <c r="O29" s="162"/>
      <c r="P29" s="163"/>
      <c r="Q29" s="166"/>
    </row>
    <row r="30" spans="1:17" s="52" customFormat="1" ht="21.6" customHeight="1" x14ac:dyDescent="0.3">
      <c r="A30" s="48"/>
      <c r="B30" s="204"/>
      <c r="C30" s="186"/>
      <c r="D30" s="188"/>
      <c r="E30" s="192"/>
      <c r="F30" s="190"/>
      <c r="G30" s="193"/>
      <c r="H30" s="190"/>
      <c r="I30" s="193"/>
      <c r="J30" s="183"/>
      <c r="K30" s="183"/>
      <c r="L30" s="178"/>
      <c r="M30" s="178"/>
      <c r="N30" s="161"/>
      <c r="O30" s="167"/>
      <c r="P30" s="167"/>
      <c r="Q30" s="166"/>
    </row>
    <row r="31" spans="1:17" s="52" customFormat="1" ht="21.6" customHeight="1" x14ac:dyDescent="0.3">
      <c r="A31" s="48"/>
      <c r="B31" s="205"/>
      <c r="C31" s="186"/>
      <c r="D31" s="188"/>
      <c r="E31" s="190"/>
      <c r="F31" s="190"/>
      <c r="G31" s="190"/>
      <c r="H31" s="190"/>
      <c r="I31" s="190"/>
      <c r="J31" s="180"/>
      <c r="K31" s="180"/>
      <c r="L31" s="178"/>
      <c r="M31" s="181"/>
      <c r="N31" s="161"/>
      <c r="O31" s="161"/>
      <c r="P31" s="163"/>
      <c r="Q31" s="166"/>
    </row>
    <row r="32" spans="1:17" s="52" customFormat="1" ht="21.6" customHeight="1" x14ac:dyDescent="0.3">
      <c r="A32" s="48"/>
      <c r="B32" s="205"/>
      <c r="C32" s="186"/>
      <c r="D32" s="188"/>
      <c r="E32" s="190"/>
      <c r="F32" s="190"/>
      <c r="G32" s="190"/>
      <c r="H32" s="190"/>
      <c r="I32" s="190"/>
      <c r="J32" s="180"/>
      <c r="K32" s="180"/>
      <c r="L32" s="178"/>
      <c r="M32" s="181"/>
      <c r="N32" s="161"/>
      <c r="O32" s="161"/>
      <c r="P32" s="163"/>
      <c r="Q32" s="166"/>
    </row>
    <row r="33" spans="1:17" s="52" customFormat="1" ht="21.6" customHeight="1" x14ac:dyDescent="0.3">
      <c r="A33" s="48"/>
      <c r="B33" s="205"/>
      <c r="C33" s="186"/>
      <c r="D33" s="188"/>
      <c r="E33" s="190"/>
      <c r="F33" s="190"/>
      <c r="G33" s="190"/>
      <c r="H33" s="190"/>
      <c r="I33" s="190"/>
      <c r="J33" s="180"/>
      <c r="K33" s="180"/>
      <c r="L33" s="178"/>
      <c r="M33" s="181"/>
      <c r="N33" s="161"/>
      <c r="O33" s="161"/>
      <c r="P33" s="163"/>
      <c r="Q33" s="166"/>
    </row>
    <row r="34" spans="1:17" s="52" customFormat="1" ht="21.6" customHeight="1" x14ac:dyDescent="0.3">
      <c r="A34" s="48"/>
      <c r="B34" s="202"/>
      <c r="C34" s="191"/>
      <c r="D34" s="188"/>
      <c r="E34" s="189"/>
      <c r="F34" s="190"/>
      <c r="G34" s="190"/>
      <c r="H34" s="190"/>
      <c r="I34" s="190"/>
      <c r="J34" s="180"/>
      <c r="K34" s="179"/>
      <c r="L34" s="181"/>
      <c r="M34" s="181"/>
      <c r="N34" s="161"/>
      <c r="O34" s="162"/>
      <c r="P34" s="163"/>
      <c r="Q34" s="166"/>
    </row>
    <row r="35" spans="1:17" s="52" customFormat="1" ht="21.6" customHeight="1" x14ac:dyDescent="0.3">
      <c r="A35" s="48"/>
      <c r="B35" s="202"/>
      <c r="C35" s="191"/>
      <c r="D35" s="188"/>
      <c r="E35" s="189"/>
      <c r="F35" s="190"/>
      <c r="G35" s="190"/>
      <c r="H35" s="190"/>
      <c r="I35" s="190"/>
      <c r="J35" s="180"/>
      <c r="K35" s="179"/>
      <c r="L35" s="181"/>
      <c r="M35" s="178"/>
      <c r="N35" s="162"/>
      <c r="O35" s="162"/>
      <c r="P35" s="163"/>
      <c r="Q35" s="166"/>
    </row>
    <row r="36" spans="1:17" s="52" customFormat="1" ht="21.6" customHeight="1" x14ac:dyDescent="0.3">
      <c r="A36" s="48"/>
      <c r="B36" s="203"/>
      <c r="C36" s="186"/>
      <c r="D36" s="188"/>
      <c r="E36" s="190"/>
      <c r="F36" s="190"/>
      <c r="G36" s="190"/>
      <c r="H36" s="190"/>
      <c r="I36" s="190"/>
      <c r="J36" s="177"/>
      <c r="K36" s="180"/>
      <c r="L36" s="181"/>
      <c r="M36" s="178"/>
      <c r="N36" s="162"/>
      <c r="O36" s="162"/>
      <c r="P36" s="163"/>
      <c r="Q36" s="166"/>
    </row>
    <row r="37" spans="1:17" s="52" customFormat="1" ht="21.6" customHeight="1" x14ac:dyDescent="0.3">
      <c r="A37" s="48"/>
      <c r="B37" s="203"/>
      <c r="C37" s="186"/>
      <c r="D37" s="188"/>
      <c r="E37" s="190"/>
      <c r="F37" s="190"/>
      <c r="G37" s="190"/>
      <c r="H37" s="190"/>
      <c r="I37" s="190"/>
      <c r="J37" s="180"/>
      <c r="K37" s="180"/>
      <c r="L37" s="181"/>
      <c r="M37" s="178"/>
      <c r="N37" s="161"/>
      <c r="O37" s="162"/>
      <c r="P37" s="163"/>
      <c r="Q37" s="166"/>
    </row>
    <row r="38" spans="1:17" s="52" customFormat="1" ht="21.6" customHeight="1" x14ac:dyDescent="0.3">
      <c r="A38" s="48"/>
      <c r="B38" s="203"/>
      <c r="C38" s="186"/>
      <c r="D38" s="188"/>
      <c r="E38" s="190"/>
      <c r="F38" s="190"/>
      <c r="G38" s="190"/>
      <c r="H38" s="190"/>
      <c r="I38" s="190"/>
      <c r="J38" s="180"/>
      <c r="K38" s="180"/>
      <c r="L38" s="181"/>
      <c r="M38" s="181"/>
      <c r="N38" s="161"/>
      <c r="O38" s="162"/>
      <c r="P38" s="163"/>
      <c r="Q38" s="166"/>
    </row>
    <row r="39" spans="1:17" s="52" customFormat="1" ht="21.6" customHeight="1" x14ac:dyDescent="0.3">
      <c r="A39" s="48"/>
      <c r="B39" s="203"/>
      <c r="C39" s="186"/>
      <c r="D39" s="188"/>
      <c r="E39" s="190"/>
      <c r="F39" s="190"/>
      <c r="G39" s="190"/>
      <c r="H39" s="190"/>
      <c r="I39" s="190"/>
      <c r="J39" s="180"/>
      <c r="K39" s="180"/>
      <c r="L39" s="181"/>
      <c r="M39" s="181"/>
      <c r="N39" s="161"/>
      <c r="O39" s="162"/>
      <c r="P39" s="163"/>
      <c r="Q39" s="166"/>
    </row>
    <row r="40" spans="1:17" s="52" customFormat="1" ht="21.6" customHeight="1" x14ac:dyDescent="0.3">
      <c r="A40" s="48"/>
      <c r="B40" s="203"/>
      <c r="C40" s="186"/>
      <c r="D40" s="188"/>
      <c r="E40" s="190"/>
      <c r="F40" s="190"/>
      <c r="G40" s="190"/>
      <c r="H40" s="190"/>
      <c r="I40" s="190"/>
      <c r="J40" s="180"/>
      <c r="K40" s="180"/>
      <c r="L40" s="178"/>
      <c r="M40" s="178"/>
      <c r="N40" s="161"/>
      <c r="O40" s="161"/>
      <c r="P40" s="163"/>
      <c r="Q40" s="166"/>
    </row>
    <row r="41" spans="1:17" s="52" customFormat="1" ht="21.6" customHeight="1" x14ac:dyDescent="0.3">
      <c r="A41" s="48"/>
      <c r="B41" s="203"/>
      <c r="C41" s="186"/>
      <c r="D41" s="188"/>
      <c r="E41" s="190"/>
      <c r="F41" s="190"/>
      <c r="G41" s="190"/>
      <c r="H41" s="190"/>
      <c r="I41" s="189"/>
      <c r="J41" s="177"/>
      <c r="K41" s="180"/>
      <c r="L41" s="181"/>
      <c r="M41" s="178"/>
      <c r="N41" s="161"/>
      <c r="O41" s="161"/>
      <c r="P41" s="163"/>
      <c r="Q41" s="165"/>
    </row>
    <row r="42" spans="1:17" s="52" customFormat="1" ht="21.6" customHeight="1" x14ac:dyDescent="0.3">
      <c r="A42" s="48"/>
      <c r="B42" s="203"/>
      <c r="C42" s="186"/>
      <c r="D42" s="188"/>
      <c r="E42" s="190"/>
      <c r="F42" s="190"/>
      <c r="G42" s="190"/>
      <c r="H42" s="190"/>
      <c r="I42" s="189"/>
      <c r="J42" s="180"/>
      <c r="K42" s="180"/>
      <c r="L42" s="181"/>
      <c r="M42" s="178"/>
      <c r="N42" s="161"/>
      <c r="O42" s="161"/>
      <c r="P42" s="163"/>
      <c r="Q42" s="165"/>
    </row>
    <row r="43" spans="1:17" s="52" customFormat="1" ht="21.6" customHeight="1" x14ac:dyDescent="0.3">
      <c r="A43" s="48"/>
      <c r="B43" s="203"/>
      <c r="C43" s="186"/>
      <c r="D43" s="188"/>
      <c r="E43" s="190"/>
      <c r="F43" s="190"/>
      <c r="G43" s="190"/>
      <c r="H43" s="190"/>
      <c r="I43" s="189"/>
      <c r="J43" s="180"/>
      <c r="K43" s="180"/>
      <c r="L43" s="181"/>
      <c r="M43" s="178"/>
      <c r="N43" s="161"/>
      <c r="O43" s="161"/>
      <c r="P43" s="163"/>
      <c r="Q43" s="165"/>
    </row>
    <row r="44" spans="1:17" s="52" customFormat="1" ht="21.6" customHeight="1" x14ac:dyDescent="0.3">
      <c r="A44" s="48"/>
      <c r="B44" s="202"/>
      <c r="C44" s="191"/>
      <c r="D44" s="188"/>
      <c r="E44" s="189"/>
      <c r="F44" s="190"/>
      <c r="G44" s="190"/>
      <c r="H44" s="190"/>
      <c r="I44" s="190"/>
      <c r="J44" s="180"/>
      <c r="K44" s="179"/>
      <c r="L44" s="181"/>
      <c r="M44" s="181"/>
      <c r="N44" s="161"/>
      <c r="O44" s="162"/>
      <c r="P44" s="163"/>
      <c r="Q44" s="166"/>
    </row>
    <row r="45" spans="1:17" s="52" customFormat="1" ht="21.6" customHeight="1" x14ac:dyDescent="0.3">
      <c r="A45" s="48"/>
      <c r="B45" s="202"/>
      <c r="C45" s="191"/>
      <c r="D45" s="188"/>
      <c r="E45" s="189"/>
      <c r="F45" s="190"/>
      <c r="G45" s="190"/>
      <c r="H45" s="190"/>
      <c r="I45" s="190"/>
      <c r="J45" s="180"/>
      <c r="K45" s="179"/>
      <c r="L45" s="181"/>
      <c r="M45" s="181"/>
      <c r="N45" s="161"/>
      <c r="O45" s="162"/>
      <c r="P45" s="163"/>
      <c r="Q45" s="166"/>
    </row>
    <row r="46" spans="1:17" s="52" customFormat="1" ht="21.6" customHeight="1" x14ac:dyDescent="0.3">
      <c r="A46" s="48"/>
      <c r="B46" s="202"/>
      <c r="C46" s="191"/>
      <c r="D46" s="188"/>
      <c r="E46" s="189"/>
      <c r="F46" s="190"/>
      <c r="G46" s="190"/>
      <c r="H46" s="190"/>
      <c r="I46" s="190"/>
      <c r="J46" s="180"/>
      <c r="K46" s="179"/>
      <c r="L46" s="181"/>
      <c r="M46" s="181"/>
      <c r="N46" s="161"/>
      <c r="O46" s="162"/>
      <c r="P46" s="163"/>
      <c r="Q46" s="166"/>
    </row>
    <row r="47" spans="1:17" s="52" customFormat="1" ht="21.6" customHeight="1" x14ac:dyDescent="0.3">
      <c r="A47" s="48"/>
      <c r="B47" s="202"/>
      <c r="C47" s="191"/>
      <c r="D47" s="188"/>
      <c r="E47" s="189"/>
      <c r="F47" s="190"/>
      <c r="G47" s="190"/>
      <c r="H47" s="190"/>
      <c r="I47" s="190"/>
      <c r="J47" s="180"/>
      <c r="K47" s="179"/>
      <c r="L47" s="181"/>
      <c r="M47" s="181"/>
      <c r="N47" s="162"/>
      <c r="O47" s="162"/>
      <c r="P47" s="163"/>
      <c r="Q47" s="166"/>
    </row>
    <row r="48" spans="1:17" s="52" customFormat="1" ht="21.6" customHeight="1" x14ac:dyDescent="0.3">
      <c r="A48" s="48"/>
      <c r="B48" s="202"/>
      <c r="C48" s="191"/>
      <c r="D48" s="188"/>
      <c r="E48" s="189"/>
      <c r="F48" s="190"/>
      <c r="G48" s="190"/>
      <c r="H48" s="190"/>
      <c r="I48" s="190"/>
      <c r="J48" s="180"/>
      <c r="K48" s="179"/>
      <c r="L48" s="181"/>
      <c r="M48" s="178"/>
      <c r="N48" s="162"/>
      <c r="O48" s="162"/>
      <c r="P48" s="163"/>
      <c r="Q48" s="166"/>
    </row>
    <row r="49" spans="1:17" s="52" customFormat="1" ht="21.6" customHeight="1" x14ac:dyDescent="0.3">
      <c r="A49" s="48"/>
      <c r="B49" s="202"/>
      <c r="C49" s="191"/>
      <c r="D49" s="188"/>
      <c r="E49" s="190"/>
      <c r="F49" s="190"/>
      <c r="G49" s="190"/>
      <c r="H49" s="190"/>
      <c r="I49" s="190"/>
      <c r="J49" s="180"/>
      <c r="K49" s="180"/>
      <c r="L49" s="178"/>
      <c r="M49" s="178"/>
      <c r="N49" s="162"/>
      <c r="O49" s="162"/>
      <c r="P49" s="163"/>
      <c r="Q49" s="166"/>
    </row>
    <row r="50" spans="1:17" s="52" customFormat="1" ht="21.6" customHeight="1" x14ac:dyDescent="0.3">
      <c r="A50" s="48"/>
      <c r="B50" s="202"/>
      <c r="C50" s="191"/>
      <c r="D50" s="188"/>
      <c r="E50" s="189"/>
      <c r="F50" s="190"/>
      <c r="G50" s="190"/>
      <c r="H50" s="190"/>
      <c r="I50" s="190"/>
      <c r="J50" s="180"/>
      <c r="K50" s="179"/>
      <c r="L50" s="178"/>
      <c r="M50" s="181"/>
      <c r="N50" s="162"/>
      <c r="O50" s="162"/>
      <c r="P50" s="163"/>
      <c r="Q50" s="166"/>
    </row>
    <row r="51" spans="1:17" s="52" customFormat="1" ht="21.6" customHeight="1" x14ac:dyDescent="0.3">
      <c r="A51" s="48"/>
      <c r="B51" s="202"/>
      <c r="C51" s="191"/>
      <c r="D51" s="188"/>
      <c r="E51" s="189"/>
      <c r="F51" s="190"/>
      <c r="G51" s="190"/>
      <c r="H51" s="190"/>
      <c r="I51" s="190"/>
      <c r="J51" s="180"/>
      <c r="K51" s="179"/>
      <c r="L51" s="181"/>
      <c r="M51" s="181"/>
      <c r="N51" s="162"/>
      <c r="O51" s="162"/>
      <c r="P51" s="163"/>
      <c r="Q51" s="166"/>
    </row>
    <row r="52" spans="1:17" s="52" customFormat="1" ht="21.6" customHeight="1" x14ac:dyDescent="0.3">
      <c r="A52" s="48"/>
      <c r="B52" s="202"/>
      <c r="C52" s="191"/>
      <c r="D52" s="188"/>
      <c r="E52" s="189"/>
      <c r="F52" s="190"/>
      <c r="G52" s="190"/>
      <c r="H52" s="190"/>
      <c r="I52" s="190"/>
      <c r="J52" s="180"/>
      <c r="K52" s="179"/>
      <c r="L52" s="181"/>
      <c r="M52" s="178"/>
      <c r="N52" s="162"/>
      <c r="O52" s="162"/>
      <c r="P52" s="163"/>
      <c r="Q52" s="166"/>
    </row>
    <row r="53" spans="1:17" s="52" customFormat="1" ht="21.6" customHeight="1" x14ac:dyDescent="0.3">
      <c r="A53" s="48"/>
      <c r="B53" s="202"/>
      <c r="C53" s="191"/>
      <c r="D53" s="188"/>
      <c r="E53" s="189"/>
      <c r="F53" s="190"/>
      <c r="G53" s="190"/>
      <c r="H53" s="190"/>
      <c r="I53" s="190"/>
      <c r="J53" s="180"/>
      <c r="K53" s="179"/>
      <c r="L53" s="178"/>
      <c r="M53" s="181"/>
      <c r="N53" s="162"/>
      <c r="O53" s="162"/>
      <c r="P53" s="163"/>
      <c r="Q53" s="166"/>
    </row>
    <row r="54" spans="1:17" s="52" customFormat="1" ht="21.6" customHeight="1" x14ac:dyDescent="0.3">
      <c r="A54" s="48"/>
      <c r="B54" s="202"/>
      <c r="C54" s="191"/>
      <c r="D54" s="188"/>
      <c r="E54" s="189"/>
      <c r="F54" s="190"/>
      <c r="G54" s="190"/>
      <c r="H54" s="190"/>
      <c r="I54" s="190"/>
      <c r="J54" s="180"/>
      <c r="K54" s="179"/>
      <c r="L54" s="178"/>
      <c r="M54" s="181"/>
      <c r="N54" s="162"/>
      <c r="O54" s="162"/>
      <c r="P54" s="163"/>
      <c r="Q54" s="166"/>
    </row>
    <row r="55" spans="1:17" s="52" customFormat="1" ht="21.6" customHeight="1" x14ac:dyDescent="0.3">
      <c r="A55" s="48"/>
      <c r="B55" s="202"/>
      <c r="C55" s="191"/>
      <c r="D55" s="188"/>
      <c r="E55" s="189"/>
      <c r="F55" s="190"/>
      <c r="G55" s="190"/>
      <c r="H55" s="190"/>
      <c r="I55" s="190"/>
      <c r="J55" s="180"/>
      <c r="K55" s="179"/>
      <c r="L55" s="178"/>
      <c r="M55" s="181"/>
      <c r="N55" s="162"/>
      <c r="O55" s="162"/>
      <c r="P55" s="163"/>
      <c r="Q55" s="166"/>
    </row>
    <row r="56" spans="1:17" s="52" customFormat="1" ht="21.6" customHeight="1" x14ac:dyDescent="0.3">
      <c r="A56" s="48"/>
      <c r="B56" s="202"/>
      <c r="C56" s="191"/>
      <c r="D56" s="188"/>
      <c r="E56" s="189"/>
      <c r="F56" s="190"/>
      <c r="G56" s="190"/>
      <c r="H56" s="190"/>
      <c r="I56" s="190"/>
      <c r="J56" s="180"/>
      <c r="K56" s="179"/>
      <c r="L56" s="181"/>
      <c r="M56" s="178"/>
      <c r="N56" s="162"/>
      <c r="O56" s="162"/>
      <c r="P56" s="163"/>
      <c r="Q56" s="166"/>
    </row>
    <row r="57" spans="1:17" s="52" customFormat="1" ht="21.6" customHeight="1" x14ac:dyDescent="0.3">
      <c r="A57" s="48"/>
      <c r="B57" s="202"/>
      <c r="C57" s="191"/>
      <c r="D57" s="188"/>
      <c r="E57" s="189"/>
      <c r="F57" s="190"/>
      <c r="G57" s="190"/>
      <c r="H57" s="190"/>
      <c r="I57" s="190"/>
      <c r="J57" s="180"/>
      <c r="K57" s="179"/>
      <c r="L57" s="181"/>
      <c r="M57" s="181"/>
      <c r="N57" s="162"/>
      <c r="O57" s="162"/>
      <c r="P57" s="163"/>
      <c r="Q57" s="166"/>
    </row>
    <row r="58" spans="1:17" s="52" customFormat="1" ht="21.6" customHeight="1" x14ac:dyDescent="0.3">
      <c r="A58" s="48"/>
      <c r="B58" s="202"/>
      <c r="C58" s="191"/>
      <c r="D58" s="188"/>
      <c r="E58" s="189"/>
      <c r="F58" s="190"/>
      <c r="G58" s="190"/>
      <c r="H58" s="190"/>
      <c r="I58" s="190"/>
      <c r="J58" s="180"/>
      <c r="K58" s="179"/>
      <c r="L58" s="181"/>
      <c r="M58" s="178"/>
      <c r="N58" s="162"/>
      <c r="O58" s="162"/>
      <c r="P58" s="163"/>
      <c r="Q58" s="166"/>
    </row>
    <row r="59" spans="1:17" s="52" customFormat="1" ht="21.6" customHeight="1" x14ac:dyDescent="0.3">
      <c r="A59" s="48"/>
      <c r="B59" s="202"/>
      <c r="C59" s="191"/>
      <c r="D59" s="188"/>
      <c r="E59" s="189"/>
      <c r="F59" s="190"/>
      <c r="G59" s="190"/>
      <c r="H59" s="190"/>
      <c r="I59" s="190"/>
      <c r="J59" s="180"/>
      <c r="K59" s="179"/>
      <c r="L59" s="181"/>
      <c r="M59" s="181"/>
      <c r="N59" s="162"/>
      <c r="O59" s="162"/>
      <c r="P59" s="163"/>
      <c r="Q59" s="166"/>
    </row>
    <row r="60" spans="1:17" s="52" customFormat="1" ht="21.6" customHeight="1" x14ac:dyDescent="0.3">
      <c r="A60" s="48"/>
      <c r="B60" s="202"/>
      <c r="C60" s="191"/>
      <c r="D60" s="188"/>
      <c r="E60" s="189"/>
      <c r="F60" s="190"/>
      <c r="G60" s="190"/>
      <c r="H60" s="190"/>
      <c r="I60" s="190"/>
      <c r="J60" s="180"/>
      <c r="K60" s="179"/>
      <c r="L60" s="181"/>
      <c r="M60" s="181"/>
      <c r="N60" s="162"/>
      <c r="O60" s="162"/>
      <c r="P60" s="163"/>
      <c r="Q60" s="166"/>
    </row>
    <row r="61" spans="1:17" s="52" customFormat="1" ht="21.6" customHeight="1" x14ac:dyDescent="0.3">
      <c r="A61" s="48"/>
      <c r="B61" s="202"/>
      <c r="C61" s="191"/>
      <c r="D61" s="188"/>
      <c r="E61" s="189"/>
      <c r="F61" s="190"/>
      <c r="G61" s="190"/>
      <c r="H61" s="190"/>
      <c r="I61" s="190"/>
      <c r="J61" s="180"/>
      <c r="K61" s="179"/>
      <c r="L61" s="181"/>
      <c r="M61" s="178"/>
      <c r="N61" s="162"/>
      <c r="O61" s="162"/>
      <c r="P61" s="163"/>
      <c r="Q61" s="166"/>
    </row>
    <row r="62" spans="1:17" s="52" customFormat="1" ht="21.6" customHeight="1" x14ac:dyDescent="0.3">
      <c r="A62" s="48"/>
      <c r="B62" s="202"/>
      <c r="C62" s="191"/>
      <c r="D62" s="188"/>
      <c r="E62" s="189"/>
      <c r="F62" s="190"/>
      <c r="G62" s="190"/>
      <c r="H62" s="190"/>
      <c r="I62" s="190"/>
      <c r="J62" s="180"/>
      <c r="K62" s="179"/>
      <c r="L62" s="181"/>
      <c r="M62" s="178"/>
      <c r="N62" s="162"/>
      <c r="O62" s="162"/>
      <c r="P62" s="163"/>
      <c r="Q62" s="166"/>
    </row>
    <row r="63" spans="1:17" s="52" customFormat="1" ht="21.6" customHeight="1" x14ac:dyDescent="0.3">
      <c r="A63" s="48"/>
      <c r="B63" s="202"/>
      <c r="C63" s="191"/>
      <c r="D63" s="188"/>
      <c r="E63" s="189"/>
      <c r="F63" s="190"/>
      <c r="G63" s="190"/>
      <c r="H63" s="190"/>
      <c r="I63" s="190"/>
      <c r="J63" s="180"/>
      <c r="K63" s="179"/>
      <c r="L63" s="181"/>
      <c r="M63" s="181"/>
      <c r="N63" s="162"/>
      <c r="O63" s="162"/>
      <c r="P63" s="163"/>
      <c r="Q63" s="166"/>
    </row>
    <row r="64" spans="1:17" s="52" customFormat="1" ht="21.6" customHeight="1" x14ac:dyDescent="0.3">
      <c r="A64" s="48"/>
      <c r="B64" s="202"/>
      <c r="C64" s="191"/>
      <c r="D64" s="188"/>
      <c r="E64" s="189"/>
      <c r="F64" s="190"/>
      <c r="G64" s="190"/>
      <c r="H64" s="190"/>
      <c r="I64" s="190"/>
      <c r="J64" s="180"/>
      <c r="K64" s="179"/>
      <c r="L64" s="181"/>
      <c r="M64" s="181"/>
      <c r="N64" s="162"/>
      <c r="O64" s="162"/>
      <c r="P64" s="163"/>
      <c r="Q64" s="166"/>
    </row>
    <row r="65" spans="1:17" s="52" customFormat="1" ht="21.6" customHeight="1" x14ac:dyDescent="0.3">
      <c r="A65" s="48"/>
      <c r="B65" s="202"/>
      <c r="C65" s="191"/>
      <c r="D65" s="188"/>
      <c r="E65" s="189"/>
      <c r="F65" s="190"/>
      <c r="G65" s="190"/>
      <c r="H65" s="190"/>
      <c r="I65" s="190"/>
      <c r="J65" s="180"/>
      <c r="K65" s="179"/>
      <c r="L65" s="181"/>
      <c r="M65" s="181"/>
      <c r="N65" s="162"/>
      <c r="O65" s="162"/>
      <c r="P65" s="163"/>
      <c r="Q65" s="166"/>
    </row>
    <row r="66" spans="1:17" s="52" customFormat="1" ht="21.6" customHeight="1" x14ac:dyDescent="0.3">
      <c r="A66" s="48"/>
      <c r="B66" s="202"/>
      <c r="C66" s="191"/>
      <c r="D66" s="194"/>
      <c r="E66" s="189"/>
      <c r="F66" s="190"/>
      <c r="G66" s="190"/>
      <c r="H66" s="190"/>
      <c r="I66" s="189"/>
      <c r="J66" s="180"/>
      <c r="K66" s="179"/>
      <c r="L66" s="181"/>
      <c r="M66" s="178"/>
      <c r="N66" s="162"/>
      <c r="O66" s="162"/>
      <c r="P66" s="163"/>
      <c r="Q66" s="166"/>
    </row>
    <row r="67" spans="1:17" s="52" customFormat="1" ht="21.6" customHeight="1" x14ac:dyDescent="0.3">
      <c r="A67" s="48"/>
      <c r="B67" s="202"/>
      <c r="C67" s="191"/>
      <c r="D67" s="195"/>
      <c r="E67" s="189"/>
      <c r="F67" s="190"/>
      <c r="G67" s="190"/>
      <c r="H67" s="189"/>
      <c r="I67" s="189"/>
      <c r="J67" s="180"/>
      <c r="K67" s="179"/>
      <c r="L67" s="181"/>
      <c r="M67" s="181"/>
      <c r="N67" s="162"/>
      <c r="O67" s="162"/>
      <c r="P67" s="163"/>
      <c r="Q67" s="166"/>
    </row>
    <row r="68" spans="1:17" s="52" customFormat="1" ht="21.6" customHeight="1" x14ac:dyDescent="0.3">
      <c r="A68" s="48"/>
      <c r="B68" s="203"/>
      <c r="C68" s="186"/>
      <c r="D68" s="188"/>
      <c r="E68" s="190"/>
      <c r="F68" s="190"/>
      <c r="G68" s="190"/>
      <c r="H68" s="190"/>
      <c r="I68" s="190"/>
      <c r="J68" s="180"/>
      <c r="K68" s="179"/>
      <c r="L68" s="178"/>
      <c r="M68" s="178"/>
      <c r="N68" s="162"/>
      <c r="O68" s="162"/>
      <c r="P68" s="163"/>
      <c r="Q68" s="166"/>
    </row>
    <row r="69" spans="1:17" s="52" customFormat="1" ht="21.6" customHeight="1" x14ac:dyDescent="0.3">
      <c r="A69" s="48"/>
      <c r="B69" s="202"/>
      <c r="C69" s="191"/>
      <c r="D69" s="195"/>
      <c r="E69" s="189"/>
      <c r="F69" s="190"/>
      <c r="G69" s="190"/>
      <c r="H69" s="189"/>
      <c r="I69" s="189"/>
      <c r="J69" s="180"/>
      <c r="K69" s="179"/>
      <c r="L69" s="181"/>
      <c r="M69" s="181"/>
      <c r="N69" s="162"/>
      <c r="O69" s="162"/>
      <c r="P69" s="163"/>
      <c r="Q69" s="166"/>
    </row>
    <row r="70" spans="1:17" s="52" customFormat="1" ht="21.6" customHeight="1" x14ac:dyDescent="0.3">
      <c r="A70" s="48"/>
      <c r="B70" s="202"/>
      <c r="C70" s="191"/>
      <c r="D70" s="195"/>
      <c r="E70" s="189"/>
      <c r="F70" s="190"/>
      <c r="G70" s="190"/>
      <c r="H70" s="189"/>
      <c r="I70" s="189"/>
      <c r="J70" s="180"/>
      <c r="K70" s="179"/>
      <c r="L70" s="181"/>
      <c r="M70" s="181"/>
      <c r="N70" s="162"/>
      <c r="O70" s="162"/>
      <c r="P70" s="163"/>
      <c r="Q70" s="166"/>
    </row>
    <row r="71" spans="1:17" s="52" customFormat="1" ht="21.6" customHeight="1" x14ac:dyDescent="0.3">
      <c r="A71" s="48"/>
      <c r="B71" s="202"/>
      <c r="C71" s="191"/>
      <c r="D71" s="195"/>
      <c r="E71" s="189"/>
      <c r="F71" s="190"/>
      <c r="G71" s="190"/>
      <c r="H71" s="189"/>
      <c r="I71" s="189"/>
      <c r="J71" s="180"/>
      <c r="K71" s="179"/>
      <c r="L71" s="181"/>
      <c r="M71" s="181"/>
      <c r="N71" s="162"/>
      <c r="O71" s="162"/>
      <c r="P71" s="163"/>
      <c r="Q71" s="166"/>
    </row>
    <row r="72" spans="1:17" s="52" customFormat="1" ht="21.6" customHeight="1" x14ac:dyDescent="0.3">
      <c r="A72" s="48"/>
      <c r="B72" s="202"/>
      <c r="C72" s="191"/>
      <c r="D72" s="195"/>
      <c r="E72" s="189"/>
      <c r="F72" s="190"/>
      <c r="G72" s="196"/>
      <c r="H72" s="189"/>
      <c r="I72" s="189"/>
      <c r="J72" s="180"/>
      <c r="K72" s="179"/>
      <c r="L72" s="181"/>
      <c r="M72" s="181"/>
      <c r="N72" s="162"/>
      <c r="O72" s="162"/>
      <c r="P72" s="163"/>
      <c r="Q72" s="166"/>
    </row>
    <row r="73" spans="1:17" s="52" customFormat="1" ht="21.6" customHeight="1" x14ac:dyDescent="0.3">
      <c r="A73" s="48"/>
      <c r="B73" s="202"/>
      <c r="C73" s="191"/>
      <c r="D73" s="195"/>
      <c r="E73" s="189"/>
      <c r="F73" s="190"/>
      <c r="G73" s="196"/>
      <c r="H73" s="189"/>
      <c r="I73" s="189"/>
      <c r="J73" s="180"/>
      <c r="K73" s="179"/>
      <c r="L73" s="181"/>
      <c r="M73" s="181"/>
      <c r="N73" s="162"/>
      <c r="O73" s="162"/>
      <c r="P73" s="163"/>
      <c r="Q73" s="166"/>
    </row>
    <row r="74" spans="1:17" s="52" customFormat="1" ht="21.6" customHeight="1" x14ac:dyDescent="0.3">
      <c r="A74" s="48"/>
      <c r="B74" s="202"/>
      <c r="C74" s="191"/>
      <c r="D74" s="195"/>
      <c r="E74" s="189"/>
      <c r="F74" s="190"/>
      <c r="G74" s="196"/>
      <c r="H74" s="189"/>
      <c r="I74" s="189"/>
      <c r="J74" s="180"/>
      <c r="K74" s="179"/>
      <c r="L74" s="181"/>
      <c r="M74" s="181"/>
      <c r="N74" s="162"/>
      <c r="O74" s="162"/>
      <c r="P74" s="163"/>
      <c r="Q74" s="166"/>
    </row>
    <row r="75" spans="1:17" s="52" customFormat="1" ht="21.6" customHeight="1" x14ac:dyDescent="0.3">
      <c r="A75" s="48"/>
      <c r="B75" s="202"/>
      <c r="C75" s="191"/>
      <c r="D75" s="195"/>
      <c r="E75" s="189"/>
      <c r="F75" s="190"/>
      <c r="G75" s="196"/>
      <c r="H75" s="189"/>
      <c r="I75" s="189"/>
      <c r="J75" s="180"/>
      <c r="K75" s="179"/>
      <c r="L75" s="181"/>
      <c r="M75" s="181"/>
      <c r="N75" s="162"/>
      <c r="O75" s="162"/>
      <c r="P75" s="163"/>
      <c r="Q75" s="166"/>
    </row>
    <row r="76" spans="1:17" s="52" customFormat="1" ht="21.6" customHeight="1" x14ac:dyDescent="0.3">
      <c r="A76" s="48"/>
      <c r="B76" s="202"/>
      <c r="C76" s="191"/>
      <c r="D76" s="195"/>
      <c r="E76" s="189"/>
      <c r="F76" s="190"/>
      <c r="G76" s="196"/>
      <c r="H76" s="189"/>
      <c r="I76" s="189"/>
      <c r="J76" s="180"/>
      <c r="K76" s="179"/>
      <c r="L76" s="181"/>
      <c r="M76" s="181"/>
      <c r="N76" s="162"/>
      <c r="O76" s="162"/>
      <c r="P76" s="163"/>
      <c r="Q76" s="166"/>
    </row>
    <row r="77" spans="1:17" s="52" customFormat="1" ht="21.6" customHeight="1" x14ac:dyDescent="0.3">
      <c r="A77" s="48"/>
      <c r="B77" s="202"/>
      <c r="C77" s="191"/>
      <c r="D77" s="195"/>
      <c r="E77" s="189"/>
      <c r="F77" s="190"/>
      <c r="G77" s="196"/>
      <c r="H77" s="189"/>
      <c r="I77" s="189"/>
      <c r="J77" s="180"/>
      <c r="K77" s="179"/>
      <c r="L77" s="181"/>
      <c r="M77" s="181"/>
      <c r="N77" s="162"/>
      <c r="O77" s="162"/>
      <c r="P77" s="163"/>
      <c r="Q77" s="166"/>
    </row>
    <row r="78" spans="1:17" s="52" customFormat="1" ht="21.6" customHeight="1" x14ac:dyDescent="0.3">
      <c r="A78" s="48"/>
      <c r="B78" s="202"/>
      <c r="C78" s="191"/>
      <c r="D78" s="195"/>
      <c r="E78" s="189"/>
      <c r="F78" s="190"/>
      <c r="G78" s="196"/>
      <c r="H78" s="189"/>
      <c r="I78" s="189"/>
      <c r="J78" s="180"/>
      <c r="K78" s="179"/>
      <c r="L78" s="181"/>
      <c r="M78" s="181"/>
      <c r="N78" s="162"/>
      <c r="O78" s="162"/>
      <c r="P78" s="163"/>
      <c r="Q78" s="166"/>
    </row>
    <row r="79" spans="1:17" s="52" customFormat="1" ht="21.6" customHeight="1" x14ac:dyDescent="0.3">
      <c r="A79" s="48"/>
      <c r="B79" s="202"/>
      <c r="C79" s="191"/>
      <c r="D79" s="195"/>
      <c r="E79" s="189"/>
      <c r="F79" s="190"/>
      <c r="G79" s="196"/>
      <c r="H79" s="189"/>
      <c r="I79" s="189"/>
      <c r="J79" s="180"/>
      <c r="K79" s="179"/>
      <c r="L79" s="181"/>
      <c r="M79" s="181"/>
      <c r="N79" s="162"/>
      <c r="O79" s="162"/>
      <c r="P79" s="163"/>
      <c r="Q79" s="166"/>
    </row>
    <row r="80" spans="1:17" s="52" customFormat="1" ht="21.6" customHeight="1" x14ac:dyDescent="0.3">
      <c r="A80" s="48"/>
      <c r="B80" s="202"/>
      <c r="C80" s="191"/>
      <c r="D80" s="195"/>
      <c r="E80" s="189"/>
      <c r="F80" s="190"/>
      <c r="G80" s="196"/>
      <c r="H80" s="189"/>
      <c r="I80" s="189"/>
      <c r="J80" s="180"/>
      <c r="K80" s="179"/>
      <c r="L80" s="181"/>
      <c r="M80" s="181"/>
      <c r="N80" s="162"/>
      <c r="O80" s="162"/>
      <c r="P80" s="163"/>
      <c r="Q80" s="166"/>
    </row>
    <row r="81" spans="1:17" s="52" customFormat="1" ht="21.6" customHeight="1" x14ac:dyDescent="0.3">
      <c r="A81" s="48"/>
      <c r="B81" s="202"/>
      <c r="C81" s="191"/>
      <c r="D81" s="195"/>
      <c r="E81" s="189"/>
      <c r="F81" s="190"/>
      <c r="G81" s="196"/>
      <c r="H81" s="189"/>
      <c r="I81" s="189"/>
      <c r="J81" s="180"/>
      <c r="K81" s="179"/>
      <c r="L81" s="181"/>
      <c r="M81" s="181"/>
      <c r="N81" s="162"/>
      <c r="O81" s="162"/>
      <c r="P81" s="163"/>
      <c r="Q81" s="166"/>
    </row>
    <row r="82" spans="1:17" s="52" customFormat="1" ht="21.6" customHeight="1" x14ac:dyDescent="0.3">
      <c r="A82" s="48"/>
      <c r="B82" s="202"/>
      <c r="C82" s="191"/>
      <c r="D82" s="195"/>
      <c r="E82" s="189"/>
      <c r="F82" s="190"/>
      <c r="G82" s="196"/>
      <c r="H82" s="189"/>
      <c r="I82" s="189"/>
      <c r="J82" s="180"/>
      <c r="K82" s="179"/>
      <c r="L82" s="181"/>
      <c r="M82" s="181"/>
      <c r="N82" s="162"/>
      <c r="O82" s="162"/>
      <c r="P82" s="163"/>
      <c r="Q82" s="166"/>
    </row>
    <row r="83" spans="1:17" s="52" customFormat="1" ht="21.6" customHeight="1" x14ac:dyDescent="0.3">
      <c r="A83" s="48"/>
      <c r="B83" s="202"/>
      <c r="C83" s="191"/>
      <c r="D83" s="195"/>
      <c r="E83" s="189"/>
      <c r="F83" s="190"/>
      <c r="G83" s="196"/>
      <c r="H83" s="189"/>
      <c r="I83" s="189"/>
      <c r="J83" s="180"/>
      <c r="K83" s="179"/>
      <c r="L83" s="181"/>
      <c r="M83" s="181"/>
      <c r="N83" s="162"/>
      <c r="O83" s="162"/>
      <c r="P83" s="163"/>
      <c r="Q83" s="166"/>
    </row>
    <row r="84" spans="1:17" ht="21.6" customHeight="1" x14ac:dyDescent="0.3">
      <c r="A84" s="49"/>
      <c r="B84" s="202"/>
      <c r="C84" s="191"/>
      <c r="D84" s="195"/>
      <c r="E84" s="189"/>
      <c r="F84" s="190"/>
      <c r="G84" s="196"/>
      <c r="H84" s="189"/>
      <c r="I84" s="189"/>
      <c r="J84" s="180"/>
      <c r="K84" s="179"/>
      <c r="L84" s="181"/>
      <c r="M84" s="181"/>
      <c r="N84" s="162"/>
      <c r="O84" s="162"/>
      <c r="P84" s="163"/>
      <c r="Q84" s="166"/>
    </row>
    <row r="85" spans="1:17" ht="21.6" customHeight="1" x14ac:dyDescent="0.3">
      <c r="A85" s="49"/>
      <c r="B85" s="202"/>
      <c r="C85" s="191"/>
      <c r="D85" s="195"/>
      <c r="E85" s="189"/>
      <c r="F85" s="190"/>
      <c r="G85" s="196"/>
      <c r="H85" s="189"/>
      <c r="I85" s="189"/>
      <c r="J85" s="180"/>
      <c r="K85" s="179"/>
      <c r="L85" s="181"/>
      <c r="M85" s="181"/>
      <c r="N85" s="162"/>
      <c r="O85" s="162"/>
      <c r="P85" s="163"/>
      <c r="Q85" s="166"/>
    </row>
    <row r="86" spans="1:17" ht="21.6" customHeight="1" x14ac:dyDescent="0.3">
      <c r="A86" s="49"/>
      <c r="B86" s="202"/>
      <c r="C86" s="191"/>
      <c r="D86" s="195"/>
      <c r="E86" s="189"/>
      <c r="F86" s="190"/>
      <c r="G86" s="196"/>
      <c r="H86" s="189"/>
      <c r="I86" s="189"/>
      <c r="J86" s="180"/>
      <c r="K86" s="179"/>
      <c r="L86" s="181"/>
      <c r="M86" s="181"/>
      <c r="N86" s="162"/>
      <c r="O86" s="162"/>
      <c r="P86" s="163"/>
      <c r="Q86" s="166"/>
    </row>
    <row r="87" spans="1:17" ht="21.6" customHeight="1" x14ac:dyDescent="0.3">
      <c r="A87" s="49"/>
      <c r="B87" s="202"/>
      <c r="C87" s="191"/>
      <c r="D87" s="195"/>
      <c r="E87" s="189"/>
      <c r="F87" s="190"/>
      <c r="G87" s="196"/>
      <c r="H87" s="189"/>
      <c r="I87" s="189"/>
      <c r="J87" s="180"/>
      <c r="K87" s="179"/>
      <c r="L87" s="181"/>
      <c r="M87" s="181"/>
      <c r="N87" s="162"/>
      <c r="O87" s="162"/>
      <c r="P87" s="163"/>
      <c r="Q87" s="166"/>
    </row>
    <row r="88" spans="1:17" ht="21.6" customHeight="1" x14ac:dyDescent="0.3">
      <c r="A88" s="49"/>
      <c r="B88" s="202"/>
      <c r="C88" s="191"/>
      <c r="D88" s="195"/>
      <c r="E88" s="189"/>
      <c r="F88" s="190"/>
      <c r="G88" s="196"/>
      <c r="H88" s="189"/>
      <c r="I88" s="189"/>
      <c r="J88" s="180"/>
      <c r="K88" s="179"/>
      <c r="L88" s="181"/>
      <c r="M88" s="181"/>
      <c r="N88" s="162"/>
      <c r="O88" s="162"/>
      <c r="P88" s="163"/>
      <c r="Q88" s="166"/>
    </row>
    <row r="89" spans="1:17" s="52" customFormat="1" ht="21.6" customHeight="1" x14ac:dyDescent="0.3">
      <c r="A89" s="48"/>
      <c r="B89" s="202"/>
      <c r="C89" s="186"/>
      <c r="D89" s="195"/>
      <c r="E89" s="189"/>
      <c r="F89" s="190"/>
      <c r="G89" s="190"/>
      <c r="H89" s="190"/>
      <c r="I89" s="190"/>
      <c r="J89" s="180"/>
      <c r="K89" s="180"/>
      <c r="L89" s="178"/>
      <c r="M89" s="181"/>
      <c r="N89" s="162"/>
      <c r="O89" s="162"/>
      <c r="P89" s="163"/>
      <c r="Q89" s="165"/>
    </row>
    <row r="90" spans="1:17" s="52" customFormat="1" ht="21.6" customHeight="1" x14ac:dyDescent="0.3">
      <c r="A90" s="48"/>
      <c r="B90" s="202"/>
      <c r="C90" s="186"/>
      <c r="D90" s="195"/>
      <c r="E90" s="189"/>
      <c r="F90" s="190"/>
      <c r="G90" s="197"/>
      <c r="H90" s="190"/>
      <c r="I90" s="190"/>
      <c r="J90" s="180"/>
      <c r="K90" s="180"/>
      <c r="L90" s="178"/>
      <c r="M90" s="178"/>
      <c r="N90" s="162"/>
      <c r="O90" s="162"/>
      <c r="P90" s="163"/>
      <c r="Q90" s="165"/>
    </row>
    <row r="91" spans="1:17" s="52" customFormat="1" ht="21.6" customHeight="1" x14ac:dyDescent="0.3">
      <c r="A91" s="48"/>
      <c r="B91" s="202"/>
      <c r="C91" s="191"/>
      <c r="D91" s="195"/>
      <c r="E91" s="189"/>
      <c r="F91" s="190"/>
      <c r="G91" s="196"/>
      <c r="H91" s="189"/>
      <c r="I91" s="189"/>
      <c r="J91" s="180"/>
      <c r="K91" s="179"/>
      <c r="L91" s="181"/>
      <c r="M91" s="181"/>
      <c r="N91" s="162"/>
      <c r="O91" s="162"/>
      <c r="P91" s="163"/>
      <c r="Q91" s="166"/>
    </row>
    <row r="92" spans="1:17" s="52" customFormat="1" ht="21.6" customHeight="1" x14ac:dyDescent="0.3">
      <c r="A92" s="48"/>
      <c r="B92" s="205"/>
      <c r="C92" s="186"/>
      <c r="D92" s="188"/>
      <c r="E92" s="190"/>
      <c r="F92" s="190"/>
      <c r="G92" s="190"/>
      <c r="H92" s="190"/>
      <c r="I92" s="190"/>
      <c r="J92" s="180"/>
      <c r="K92" s="180"/>
      <c r="L92" s="178"/>
      <c r="M92" s="181"/>
      <c r="N92" s="161"/>
      <c r="O92" s="161"/>
      <c r="P92" s="163"/>
      <c r="Q92" s="166"/>
    </row>
    <row r="93" spans="1:17" s="52" customFormat="1" ht="21.6" customHeight="1" x14ac:dyDescent="0.3">
      <c r="A93" s="48"/>
      <c r="B93" s="205"/>
      <c r="C93" s="186"/>
      <c r="D93" s="188"/>
      <c r="E93" s="190"/>
      <c r="F93" s="190"/>
      <c r="G93" s="190"/>
      <c r="H93" s="190"/>
      <c r="I93" s="190"/>
      <c r="J93" s="180"/>
      <c r="K93" s="180"/>
      <c r="L93" s="178"/>
      <c r="M93" s="178"/>
      <c r="N93" s="161"/>
      <c r="O93" s="161"/>
      <c r="P93" s="163"/>
      <c r="Q93" s="166"/>
    </row>
    <row r="94" spans="1:17" s="52" customFormat="1" ht="21.6" customHeight="1" x14ac:dyDescent="0.3">
      <c r="A94" s="48"/>
      <c r="B94" s="202"/>
      <c r="C94" s="191"/>
      <c r="D94" s="195"/>
      <c r="E94" s="189"/>
      <c r="F94" s="190"/>
      <c r="G94" s="196"/>
      <c r="H94" s="189"/>
      <c r="I94" s="189"/>
      <c r="J94" s="180"/>
      <c r="K94" s="179"/>
      <c r="L94" s="181"/>
      <c r="M94" s="181"/>
      <c r="N94" s="162"/>
      <c r="O94" s="162"/>
      <c r="P94" s="163"/>
      <c r="Q94" s="166"/>
    </row>
    <row r="95" spans="1:17" s="52" customFormat="1" ht="21.6" customHeight="1" x14ac:dyDescent="0.3">
      <c r="A95" s="48"/>
      <c r="B95" s="202"/>
      <c r="C95" s="191"/>
      <c r="D95" s="195"/>
      <c r="E95" s="189"/>
      <c r="F95" s="190"/>
      <c r="G95" s="196"/>
      <c r="H95" s="189"/>
      <c r="I95" s="189"/>
      <c r="J95" s="180"/>
      <c r="K95" s="179"/>
      <c r="L95" s="181"/>
      <c r="M95" s="181"/>
      <c r="N95" s="162"/>
      <c r="O95" s="162"/>
      <c r="P95" s="163"/>
      <c r="Q95" s="166"/>
    </row>
    <row r="96" spans="1:17" s="52" customFormat="1" ht="21.6" customHeight="1" x14ac:dyDescent="0.3">
      <c r="A96" s="48"/>
      <c r="B96" s="202"/>
      <c r="C96" s="191"/>
      <c r="D96" s="195"/>
      <c r="E96" s="189"/>
      <c r="F96" s="190"/>
      <c r="G96" s="196"/>
      <c r="H96" s="189"/>
      <c r="I96" s="189"/>
      <c r="J96" s="180"/>
      <c r="K96" s="179"/>
      <c r="L96" s="181"/>
      <c r="M96" s="181"/>
      <c r="N96" s="162"/>
      <c r="O96" s="162"/>
      <c r="P96" s="163"/>
      <c r="Q96" s="166"/>
    </row>
    <row r="97" spans="1:17" s="168" customFormat="1" ht="21.6" customHeight="1" x14ac:dyDescent="0.3">
      <c r="A97" s="210"/>
      <c r="B97" s="202"/>
      <c r="C97" s="191"/>
      <c r="D97" s="195"/>
      <c r="E97" s="189"/>
      <c r="F97" s="190"/>
      <c r="G97" s="196"/>
      <c r="H97" s="189"/>
      <c r="I97" s="189"/>
      <c r="J97" s="180"/>
      <c r="K97" s="179"/>
      <c r="L97" s="178"/>
      <c r="M97" s="181"/>
      <c r="N97" s="162"/>
      <c r="O97" s="162"/>
      <c r="P97" s="163"/>
      <c r="Q97" s="166"/>
    </row>
    <row r="98" spans="1:17" s="52" customFormat="1" ht="21.6" customHeight="1" x14ac:dyDescent="0.3">
      <c r="A98" s="48"/>
      <c r="B98" s="202"/>
      <c r="C98" s="191"/>
      <c r="D98" s="195"/>
      <c r="E98" s="189"/>
      <c r="F98" s="190"/>
      <c r="G98" s="196"/>
      <c r="H98" s="189"/>
      <c r="I98" s="189"/>
      <c r="J98" s="180"/>
      <c r="K98" s="179"/>
      <c r="L98" s="181"/>
      <c r="M98" s="181"/>
      <c r="N98" s="162"/>
      <c r="O98" s="162"/>
      <c r="P98" s="163"/>
      <c r="Q98" s="166"/>
    </row>
    <row r="99" spans="1:17" s="52" customFormat="1" ht="21.6" customHeight="1" x14ac:dyDescent="0.3">
      <c r="A99" s="48"/>
      <c r="B99" s="202"/>
      <c r="C99" s="191"/>
      <c r="D99" s="195"/>
      <c r="E99" s="189"/>
      <c r="F99" s="190"/>
      <c r="G99" s="196"/>
      <c r="H99" s="189"/>
      <c r="I99" s="189"/>
      <c r="J99" s="180"/>
      <c r="K99" s="179"/>
      <c r="L99" s="181"/>
      <c r="M99" s="181"/>
      <c r="N99" s="162"/>
      <c r="O99" s="162"/>
      <c r="P99" s="163"/>
      <c r="Q99" s="166"/>
    </row>
    <row r="100" spans="1:17" s="52" customFormat="1" ht="21.6" customHeight="1" x14ac:dyDescent="0.3">
      <c r="A100" s="48"/>
      <c r="B100" s="202"/>
      <c r="C100" s="191"/>
      <c r="D100" s="195"/>
      <c r="E100" s="190"/>
      <c r="F100" s="190"/>
      <c r="G100" s="190"/>
      <c r="H100" s="190"/>
      <c r="I100" s="190"/>
      <c r="J100" s="180"/>
      <c r="K100" s="179"/>
      <c r="L100" s="181"/>
      <c r="M100" s="181"/>
      <c r="N100" s="161"/>
      <c r="O100" s="161"/>
      <c r="P100" s="163"/>
      <c r="Q100" s="166"/>
    </row>
    <row r="101" spans="1:17" s="52" customFormat="1" ht="21.6" customHeight="1" x14ac:dyDescent="0.3">
      <c r="A101" s="48"/>
      <c r="B101" s="202"/>
      <c r="C101" s="191"/>
      <c r="D101" s="195"/>
      <c r="E101" s="189"/>
      <c r="F101" s="190"/>
      <c r="G101" s="196"/>
      <c r="H101" s="189"/>
      <c r="I101" s="189"/>
      <c r="J101" s="180"/>
      <c r="K101" s="179"/>
      <c r="L101" s="178"/>
      <c r="M101" s="181"/>
      <c r="N101" s="162"/>
      <c r="O101" s="162"/>
      <c r="P101" s="163"/>
      <c r="Q101" s="166"/>
    </row>
    <row r="102" spans="1:17" s="52" customFormat="1" ht="21.6" customHeight="1" x14ac:dyDescent="0.3">
      <c r="A102" s="48"/>
      <c r="B102" s="202"/>
      <c r="C102" s="191"/>
      <c r="D102" s="195"/>
      <c r="E102" s="189"/>
      <c r="F102" s="190"/>
      <c r="G102" s="196"/>
      <c r="H102" s="189"/>
      <c r="I102" s="189"/>
      <c r="J102" s="180"/>
      <c r="K102" s="179"/>
      <c r="L102" s="178"/>
      <c r="M102" s="181"/>
      <c r="N102" s="162"/>
      <c r="O102" s="162"/>
      <c r="P102" s="163"/>
      <c r="Q102" s="166"/>
    </row>
    <row r="103" spans="1:17" s="52" customFormat="1" ht="21.6" customHeight="1" x14ac:dyDescent="0.3">
      <c r="A103" s="48"/>
      <c r="B103" s="202"/>
      <c r="C103" s="191"/>
      <c r="D103" s="195"/>
      <c r="E103" s="189"/>
      <c r="F103" s="190"/>
      <c r="G103" s="196"/>
      <c r="H103" s="189"/>
      <c r="I103" s="189"/>
      <c r="J103" s="180"/>
      <c r="K103" s="179"/>
      <c r="L103" s="178"/>
      <c r="M103" s="181"/>
      <c r="N103" s="162"/>
      <c r="O103" s="162"/>
      <c r="P103" s="163"/>
      <c r="Q103" s="166"/>
    </row>
    <row r="104" spans="1:17" ht="21.6" customHeight="1" x14ac:dyDescent="0.3">
      <c r="A104" s="49"/>
      <c r="B104" s="202"/>
      <c r="C104" s="191"/>
      <c r="D104" s="195"/>
      <c r="E104" s="189"/>
      <c r="F104" s="190"/>
      <c r="G104" s="196"/>
      <c r="H104" s="189"/>
      <c r="I104" s="189"/>
      <c r="J104" s="180"/>
      <c r="K104" s="179"/>
      <c r="L104" s="178"/>
      <c r="M104" s="181"/>
      <c r="N104" s="162"/>
      <c r="O104" s="162"/>
      <c r="P104" s="163"/>
      <c r="Q104" s="166"/>
    </row>
    <row r="105" spans="1:17" s="52" customFormat="1" ht="21.6" customHeight="1" x14ac:dyDescent="0.3">
      <c r="A105" s="48"/>
      <c r="B105" s="202"/>
      <c r="C105" s="191"/>
      <c r="D105" s="195"/>
      <c r="E105" s="189"/>
      <c r="F105" s="190"/>
      <c r="G105" s="196"/>
      <c r="H105" s="189"/>
      <c r="I105" s="189"/>
      <c r="J105" s="180"/>
      <c r="K105" s="179"/>
      <c r="L105" s="178"/>
      <c r="M105" s="181"/>
      <c r="N105" s="162"/>
      <c r="O105" s="162"/>
      <c r="P105" s="163"/>
      <c r="Q105" s="166"/>
    </row>
    <row r="106" spans="1:17" s="52" customFormat="1" ht="21.6" customHeight="1" x14ac:dyDescent="0.3">
      <c r="A106" s="48"/>
      <c r="B106" s="202"/>
      <c r="C106" s="186"/>
      <c r="D106" s="188"/>
      <c r="E106" s="190"/>
      <c r="F106" s="190"/>
      <c r="G106" s="190"/>
      <c r="H106" s="190"/>
      <c r="I106" s="190"/>
      <c r="J106" s="180"/>
      <c r="K106" s="179"/>
      <c r="L106" s="178"/>
      <c r="M106" s="181"/>
      <c r="N106" s="162"/>
      <c r="O106" s="162"/>
      <c r="P106" s="163"/>
      <c r="Q106" s="166"/>
    </row>
    <row r="107" spans="1:17" s="168" customFormat="1" ht="21.6" customHeight="1" x14ac:dyDescent="0.3">
      <c r="A107" s="210"/>
      <c r="B107" s="203"/>
      <c r="C107" s="186"/>
      <c r="D107" s="188"/>
      <c r="E107" s="190"/>
      <c r="F107" s="190"/>
      <c r="G107" s="190"/>
      <c r="H107" s="190"/>
      <c r="I107" s="190"/>
      <c r="J107" s="180"/>
      <c r="K107" s="179"/>
      <c r="L107" s="178"/>
      <c r="M107" s="181"/>
      <c r="N107" s="162"/>
      <c r="O107" s="162"/>
      <c r="P107" s="163"/>
      <c r="Q107" s="166"/>
    </row>
    <row r="108" spans="1:17" s="52" customFormat="1" ht="21.6" customHeight="1" x14ac:dyDescent="0.3">
      <c r="A108" s="48"/>
      <c r="B108" s="202"/>
      <c r="C108" s="191"/>
      <c r="D108" s="195"/>
      <c r="E108" s="189"/>
      <c r="F108" s="190"/>
      <c r="G108" s="196"/>
      <c r="H108" s="189"/>
      <c r="I108" s="189"/>
      <c r="J108" s="180"/>
      <c r="K108" s="179"/>
      <c r="L108" s="178"/>
      <c r="M108" s="181"/>
      <c r="N108" s="162"/>
      <c r="O108" s="162"/>
      <c r="P108" s="163"/>
      <c r="Q108" s="166"/>
    </row>
    <row r="109" spans="1:17" s="169" customFormat="1" ht="21.6" customHeight="1" x14ac:dyDescent="0.3">
      <c r="A109" s="210"/>
      <c r="B109" s="203"/>
      <c r="C109" s="191"/>
      <c r="D109" s="188"/>
      <c r="E109" s="190"/>
      <c r="F109" s="190"/>
      <c r="G109" s="190"/>
      <c r="H109" s="189"/>
      <c r="I109" s="189"/>
      <c r="J109" s="180"/>
      <c r="K109" s="179"/>
      <c r="L109" s="178"/>
      <c r="M109" s="181"/>
      <c r="N109" s="162"/>
      <c r="O109" s="162"/>
      <c r="P109" s="163"/>
      <c r="Q109" s="166"/>
    </row>
    <row r="110" spans="1:17" s="52" customFormat="1" ht="21.6" customHeight="1" x14ac:dyDescent="0.3">
      <c r="A110" s="48"/>
      <c r="B110" s="203"/>
      <c r="C110" s="191"/>
      <c r="D110" s="188"/>
      <c r="E110" s="190"/>
      <c r="F110" s="190"/>
      <c r="G110" s="190"/>
      <c r="H110" s="189"/>
      <c r="I110" s="189"/>
      <c r="J110" s="180"/>
      <c r="K110" s="179"/>
      <c r="L110" s="178"/>
      <c r="M110" s="181"/>
      <c r="N110" s="162"/>
      <c r="O110" s="162"/>
      <c r="P110" s="163"/>
      <c r="Q110" s="166"/>
    </row>
    <row r="111" spans="1:17" s="52" customFormat="1" ht="21.6" customHeight="1" x14ac:dyDescent="0.3">
      <c r="A111" s="48"/>
      <c r="B111" s="203"/>
      <c r="C111" s="191"/>
      <c r="D111" s="188"/>
      <c r="E111" s="190"/>
      <c r="F111" s="190"/>
      <c r="G111" s="190"/>
      <c r="H111" s="189"/>
      <c r="I111" s="189"/>
      <c r="J111" s="180"/>
      <c r="K111" s="179"/>
      <c r="L111" s="178"/>
      <c r="M111" s="181"/>
      <c r="N111" s="162"/>
      <c r="O111" s="162"/>
      <c r="P111" s="163"/>
      <c r="Q111" s="166"/>
    </row>
    <row r="112" spans="1:17" s="52" customFormat="1" ht="21.6" customHeight="1" x14ac:dyDescent="0.3">
      <c r="A112" s="48"/>
      <c r="B112" s="203"/>
      <c r="C112" s="191"/>
      <c r="D112" s="188"/>
      <c r="E112" s="190"/>
      <c r="F112" s="190"/>
      <c r="G112" s="190"/>
      <c r="H112" s="189"/>
      <c r="I112" s="189"/>
      <c r="J112" s="180"/>
      <c r="K112" s="179"/>
      <c r="L112" s="178"/>
      <c r="M112" s="181"/>
      <c r="N112" s="162"/>
      <c r="O112" s="162"/>
      <c r="P112" s="163"/>
      <c r="Q112" s="166"/>
    </row>
    <row r="113" spans="1:17" s="52" customFormat="1" ht="21.6" customHeight="1" x14ac:dyDescent="0.3">
      <c r="A113" s="48"/>
      <c r="B113" s="203"/>
      <c r="C113" s="191"/>
      <c r="D113" s="188"/>
      <c r="E113" s="190"/>
      <c r="F113" s="190"/>
      <c r="G113" s="190"/>
      <c r="H113" s="189"/>
      <c r="I113" s="189"/>
      <c r="J113" s="180"/>
      <c r="K113" s="179"/>
      <c r="L113" s="178"/>
      <c r="M113" s="181"/>
      <c r="N113" s="162"/>
      <c r="O113" s="162"/>
      <c r="P113" s="163"/>
      <c r="Q113" s="166"/>
    </row>
    <row r="114" spans="1:17" s="52" customFormat="1" ht="21.6" customHeight="1" x14ac:dyDescent="0.3">
      <c r="A114" s="48"/>
      <c r="B114" s="203"/>
      <c r="C114" s="191"/>
      <c r="D114" s="188"/>
      <c r="E114" s="190"/>
      <c r="F114" s="190"/>
      <c r="G114" s="190"/>
      <c r="H114" s="189"/>
      <c r="I114" s="189"/>
      <c r="J114" s="180"/>
      <c r="K114" s="179"/>
      <c r="L114" s="178"/>
      <c r="M114" s="181"/>
      <c r="N114" s="162"/>
      <c r="O114" s="162"/>
      <c r="P114" s="163"/>
      <c r="Q114" s="166"/>
    </row>
    <row r="115" spans="1:17" s="52" customFormat="1" ht="21.6" customHeight="1" x14ac:dyDescent="0.3">
      <c r="A115" s="48"/>
      <c r="B115" s="203"/>
      <c r="C115" s="191"/>
      <c r="D115" s="188"/>
      <c r="E115" s="190"/>
      <c r="F115" s="190"/>
      <c r="G115" s="190"/>
      <c r="H115" s="189"/>
      <c r="I115" s="189"/>
      <c r="J115" s="180"/>
      <c r="K115" s="179"/>
      <c r="L115" s="178"/>
      <c r="M115" s="181"/>
      <c r="N115" s="162"/>
      <c r="O115" s="162"/>
      <c r="P115" s="163"/>
      <c r="Q115" s="166"/>
    </row>
    <row r="116" spans="1:17" s="52" customFormat="1" ht="21.6" customHeight="1" x14ac:dyDescent="0.3">
      <c r="A116" s="48"/>
      <c r="B116" s="203"/>
      <c r="C116" s="191"/>
      <c r="D116" s="188"/>
      <c r="E116" s="190"/>
      <c r="F116" s="190"/>
      <c r="G116" s="190"/>
      <c r="H116" s="189"/>
      <c r="I116" s="189"/>
      <c r="J116" s="180"/>
      <c r="K116" s="179"/>
      <c r="L116" s="178"/>
      <c r="M116" s="181"/>
      <c r="N116" s="162"/>
      <c r="O116" s="162"/>
      <c r="P116" s="163"/>
      <c r="Q116" s="166"/>
    </row>
    <row r="117" spans="1:17" s="52" customFormat="1" ht="21.6" customHeight="1" x14ac:dyDescent="0.3">
      <c r="A117" s="48"/>
      <c r="B117" s="203"/>
      <c r="C117" s="191"/>
      <c r="D117" s="188"/>
      <c r="E117" s="190"/>
      <c r="F117" s="190"/>
      <c r="G117" s="190"/>
      <c r="H117" s="189"/>
      <c r="I117" s="189"/>
      <c r="J117" s="180"/>
      <c r="K117" s="179"/>
      <c r="L117" s="178"/>
      <c r="M117" s="181"/>
      <c r="N117" s="162"/>
      <c r="O117" s="162"/>
      <c r="P117" s="163"/>
      <c r="Q117" s="166"/>
    </row>
    <row r="118" spans="1:17" s="52" customFormat="1" ht="21.6" customHeight="1" x14ac:dyDescent="0.3">
      <c r="A118" s="48"/>
      <c r="B118" s="203"/>
      <c r="C118" s="191"/>
      <c r="D118" s="195"/>
      <c r="E118" s="189"/>
      <c r="F118" s="190"/>
      <c r="G118" s="196"/>
      <c r="H118" s="189"/>
      <c r="I118" s="189"/>
      <c r="J118" s="180"/>
      <c r="K118" s="179"/>
      <c r="L118" s="178"/>
      <c r="M118" s="181"/>
      <c r="N118" s="162"/>
      <c r="O118" s="162"/>
      <c r="P118" s="163"/>
      <c r="Q118" s="166"/>
    </row>
    <row r="119" spans="1:17" s="52" customFormat="1" ht="21.6" customHeight="1" x14ac:dyDescent="0.3">
      <c r="A119" s="48"/>
      <c r="B119" s="203"/>
      <c r="C119" s="191"/>
      <c r="D119" s="195"/>
      <c r="E119" s="189"/>
      <c r="F119" s="190"/>
      <c r="G119" s="187"/>
      <c r="H119" s="189"/>
      <c r="I119" s="189"/>
      <c r="J119" s="177"/>
      <c r="K119" s="179"/>
      <c r="L119" s="181"/>
      <c r="M119" s="178"/>
      <c r="N119" s="162"/>
      <c r="O119" s="162"/>
      <c r="P119" s="163"/>
      <c r="Q119" s="166"/>
    </row>
    <row r="120" spans="1:17" s="52" customFormat="1" ht="21.6" customHeight="1" x14ac:dyDescent="0.3">
      <c r="A120" s="48"/>
      <c r="B120" s="203"/>
      <c r="C120" s="191"/>
      <c r="D120" s="195"/>
      <c r="E120" s="189"/>
      <c r="F120" s="190"/>
      <c r="G120" s="190"/>
      <c r="H120" s="189"/>
      <c r="I120" s="189"/>
      <c r="J120" s="180"/>
      <c r="K120" s="179"/>
      <c r="L120" s="181"/>
      <c r="M120" s="178"/>
      <c r="N120" s="162"/>
      <c r="O120" s="162"/>
      <c r="P120" s="163"/>
      <c r="Q120" s="166"/>
    </row>
    <row r="121" spans="1:17" s="52" customFormat="1" ht="21.6" customHeight="1" x14ac:dyDescent="0.3">
      <c r="A121" s="48"/>
      <c r="B121" s="202"/>
      <c r="C121" s="191"/>
      <c r="D121" s="188"/>
      <c r="E121" s="189"/>
      <c r="F121" s="190"/>
      <c r="G121" s="190"/>
      <c r="H121" s="190"/>
      <c r="I121" s="190"/>
      <c r="J121" s="180"/>
      <c r="K121" s="179"/>
      <c r="L121" s="181"/>
      <c r="M121" s="181"/>
      <c r="N121" s="161"/>
      <c r="O121" s="162"/>
      <c r="P121" s="163"/>
      <c r="Q121" s="166"/>
    </row>
    <row r="122" spans="1:17" s="52" customFormat="1" ht="21.6" customHeight="1" x14ac:dyDescent="0.3">
      <c r="A122" s="48"/>
      <c r="B122" s="202"/>
      <c r="C122" s="191"/>
      <c r="D122" s="188"/>
      <c r="E122" s="189"/>
      <c r="F122" s="190"/>
      <c r="G122" s="190"/>
      <c r="H122" s="190"/>
      <c r="I122" s="190"/>
      <c r="J122" s="180"/>
      <c r="K122" s="179"/>
      <c r="L122" s="181"/>
      <c r="M122" s="181"/>
      <c r="N122" s="161"/>
      <c r="O122" s="162"/>
      <c r="P122" s="163"/>
      <c r="Q122" s="166"/>
    </row>
    <row r="123" spans="1:17" s="52" customFormat="1" ht="21.6" customHeight="1" x14ac:dyDescent="0.3">
      <c r="A123" s="48"/>
      <c r="B123" s="202"/>
      <c r="C123" s="191"/>
      <c r="D123" s="188"/>
      <c r="E123" s="190"/>
      <c r="F123" s="190"/>
      <c r="G123" s="190"/>
      <c r="H123" s="190"/>
      <c r="I123" s="190"/>
      <c r="J123" s="180"/>
      <c r="K123" s="179"/>
      <c r="L123" s="178"/>
      <c r="M123" s="178"/>
      <c r="N123" s="171"/>
      <c r="O123" s="161"/>
      <c r="P123" s="164"/>
      <c r="Q123" s="166"/>
    </row>
    <row r="124" spans="1:17" s="52" customFormat="1" ht="21.6" customHeight="1" x14ac:dyDescent="0.3">
      <c r="A124" s="48"/>
      <c r="B124" s="203"/>
      <c r="C124" s="191"/>
      <c r="D124" s="188"/>
      <c r="E124" s="190"/>
      <c r="F124" s="190"/>
      <c r="G124" s="190"/>
      <c r="H124" s="190"/>
      <c r="I124" s="190"/>
      <c r="J124" s="180"/>
      <c r="K124" s="180"/>
      <c r="L124" s="178"/>
      <c r="M124" s="178"/>
      <c r="N124" s="161"/>
      <c r="O124" s="161"/>
      <c r="P124" s="164"/>
      <c r="Q124" s="166"/>
    </row>
    <row r="125" spans="1:17" s="52" customFormat="1" ht="21.6" customHeight="1" x14ac:dyDescent="0.3">
      <c r="A125" s="48"/>
      <c r="B125" s="203"/>
      <c r="C125" s="191"/>
      <c r="D125" s="188"/>
      <c r="E125" s="190"/>
      <c r="F125" s="190"/>
      <c r="G125" s="190"/>
      <c r="H125" s="190"/>
      <c r="I125" s="190"/>
      <c r="J125" s="180"/>
      <c r="K125" s="180"/>
      <c r="L125" s="178"/>
      <c r="M125" s="178"/>
      <c r="N125" s="161"/>
      <c r="O125" s="161"/>
      <c r="P125" s="164"/>
      <c r="Q125" s="166"/>
    </row>
    <row r="126" spans="1:17" s="52" customFormat="1" ht="21.6" customHeight="1" x14ac:dyDescent="0.3">
      <c r="A126" s="48"/>
      <c r="B126" s="203"/>
      <c r="C126" s="191"/>
      <c r="D126" s="188"/>
      <c r="E126" s="190"/>
      <c r="F126" s="190"/>
      <c r="G126" s="190"/>
      <c r="H126" s="190"/>
      <c r="I126" s="190"/>
      <c r="J126" s="180"/>
      <c r="K126" s="180"/>
      <c r="L126" s="178"/>
      <c r="M126" s="181"/>
      <c r="N126" s="161"/>
      <c r="O126" s="161"/>
      <c r="P126" s="164"/>
      <c r="Q126" s="166"/>
    </row>
    <row r="127" spans="1:17" s="52" customFormat="1" ht="21.6" customHeight="1" x14ac:dyDescent="0.3">
      <c r="A127" s="48"/>
      <c r="B127" s="203"/>
      <c r="C127" s="191"/>
      <c r="D127" s="188"/>
      <c r="E127" s="190"/>
      <c r="F127" s="190"/>
      <c r="G127" s="190"/>
      <c r="H127" s="190"/>
      <c r="I127" s="190"/>
      <c r="J127" s="180"/>
      <c r="K127" s="180"/>
      <c r="L127" s="178"/>
      <c r="M127" s="178"/>
      <c r="N127" s="161"/>
      <c r="O127" s="161"/>
      <c r="P127" s="164"/>
      <c r="Q127" s="166"/>
    </row>
    <row r="128" spans="1:17" s="52" customFormat="1" ht="21.6" customHeight="1" x14ac:dyDescent="0.3">
      <c r="A128" s="48"/>
      <c r="B128" s="203"/>
      <c r="C128" s="186"/>
      <c r="D128" s="188"/>
      <c r="E128" s="190"/>
      <c r="F128" s="190"/>
      <c r="G128" s="190"/>
      <c r="H128" s="190"/>
      <c r="I128" s="190"/>
      <c r="J128" s="180"/>
      <c r="K128" s="180"/>
      <c r="L128" s="181"/>
      <c r="M128" s="181"/>
      <c r="N128" s="161"/>
      <c r="O128" s="161"/>
      <c r="P128" s="164"/>
      <c r="Q128" s="166"/>
    </row>
    <row r="129" spans="1:17" s="52" customFormat="1" ht="21.6" customHeight="1" x14ac:dyDescent="0.3">
      <c r="A129" s="48"/>
      <c r="B129" s="203"/>
      <c r="C129" s="186"/>
      <c r="D129" s="188"/>
      <c r="E129" s="190"/>
      <c r="F129" s="190"/>
      <c r="G129" s="190"/>
      <c r="H129" s="190"/>
      <c r="I129" s="190"/>
      <c r="J129" s="180"/>
      <c r="K129" s="180"/>
      <c r="L129" s="181"/>
      <c r="M129" s="178"/>
      <c r="N129" s="161"/>
      <c r="O129" s="161"/>
      <c r="P129" s="164"/>
      <c r="Q129" s="166"/>
    </row>
    <row r="130" spans="1:17" s="52" customFormat="1" ht="21.6" customHeight="1" x14ac:dyDescent="0.3">
      <c r="A130" s="48"/>
      <c r="B130" s="203"/>
      <c r="C130" s="186"/>
      <c r="D130" s="188"/>
      <c r="E130" s="190"/>
      <c r="F130" s="190"/>
      <c r="G130" s="190"/>
      <c r="H130" s="190"/>
      <c r="I130" s="190"/>
      <c r="J130" s="180"/>
      <c r="K130" s="180"/>
      <c r="L130" s="178"/>
      <c r="M130" s="178"/>
      <c r="N130" s="161"/>
      <c r="O130" s="161"/>
      <c r="P130" s="164"/>
      <c r="Q130" s="166"/>
    </row>
    <row r="131" spans="1:17" s="52" customFormat="1" ht="21.6" customHeight="1" x14ac:dyDescent="0.3">
      <c r="A131" s="48"/>
      <c r="B131" s="203"/>
      <c r="C131" s="186"/>
      <c r="D131" s="188"/>
      <c r="E131" s="190"/>
      <c r="F131" s="190"/>
      <c r="G131" s="190"/>
      <c r="H131" s="190"/>
      <c r="I131" s="190"/>
      <c r="J131" s="180"/>
      <c r="K131" s="180"/>
      <c r="L131" s="178"/>
      <c r="M131" s="178"/>
      <c r="N131" s="162"/>
      <c r="O131" s="162"/>
      <c r="P131" s="163"/>
      <c r="Q131" s="166"/>
    </row>
    <row r="132" spans="1:17" s="52" customFormat="1" ht="21.6" customHeight="1" x14ac:dyDescent="0.3">
      <c r="A132" s="48"/>
      <c r="B132" s="203"/>
      <c r="C132" s="186"/>
      <c r="D132" s="188"/>
      <c r="E132" s="190"/>
      <c r="F132" s="190"/>
      <c r="G132" s="190"/>
      <c r="H132" s="190"/>
      <c r="I132" s="190"/>
      <c r="J132" s="180"/>
      <c r="K132" s="180"/>
      <c r="L132" s="178"/>
      <c r="M132" s="178"/>
      <c r="N132" s="162"/>
      <c r="O132" s="162"/>
      <c r="P132" s="163"/>
      <c r="Q132" s="166"/>
    </row>
    <row r="133" spans="1:17" s="52" customFormat="1" ht="21.6" customHeight="1" x14ac:dyDescent="0.3">
      <c r="A133" s="48"/>
      <c r="B133" s="203"/>
      <c r="C133" s="186"/>
      <c r="D133" s="188"/>
      <c r="E133" s="190"/>
      <c r="F133" s="190"/>
      <c r="G133" s="190"/>
      <c r="H133" s="190"/>
      <c r="I133" s="190"/>
      <c r="J133" s="180"/>
      <c r="K133" s="180"/>
      <c r="L133" s="178"/>
      <c r="M133" s="178"/>
      <c r="N133" s="162"/>
      <c r="O133" s="162"/>
      <c r="P133" s="163"/>
      <c r="Q133" s="166"/>
    </row>
    <row r="134" spans="1:17" s="52" customFormat="1" ht="21.6" customHeight="1" x14ac:dyDescent="0.3">
      <c r="A134" s="48"/>
      <c r="B134" s="203"/>
      <c r="C134" s="186"/>
      <c r="D134" s="188"/>
      <c r="E134" s="190"/>
      <c r="F134" s="190"/>
      <c r="G134" s="190"/>
      <c r="H134" s="190"/>
      <c r="I134" s="190"/>
      <c r="J134" s="180"/>
      <c r="K134" s="180"/>
      <c r="L134" s="178"/>
      <c r="M134" s="178"/>
      <c r="N134" s="162"/>
      <c r="O134" s="162"/>
      <c r="P134" s="163"/>
      <c r="Q134" s="166"/>
    </row>
    <row r="135" spans="1:17" s="52" customFormat="1" ht="21.6" customHeight="1" x14ac:dyDescent="0.3">
      <c r="A135" s="48"/>
      <c r="B135" s="203"/>
      <c r="C135" s="186"/>
      <c r="D135" s="188"/>
      <c r="E135" s="190"/>
      <c r="F135" s="190"/>
      <c r="G135" s="190"/>
      <c r="H135" s="190"/>
      <c r="I135" s="190"/>
      <c r="J135" s="180"/>
      <c r="K135" s="180"/>
      <c r="L135" s="178"/>
      <c r="M135" s="178"/>
      <c r="N135" s="162"/>
      <c r="O135" s="162"/>
      <c r="P135" s="163"/>
      <c r="Q135" s="166"/>
    </row>
    <row r="136" spans="1:17" s="52" customFormat="1" ht="21.6" customHeight="1" x14ac:dyDescent="0.3">
      <c r="A136" s="48"/>
      <c r="B136" s="203"/>
      <c r="C136" s="186"/>
      <c r="D136" s="188"/>
      <c r="E136" s="190"/>
      <c r="F136" s="190"/>
      <c r="G136" s="190"/>
      <c r="H136" s="190"/>
      <c r="I136" s="190"/>
      <c r="J136" s="180"/>
      <c r="K136" s="180"/>
      <c r="L136" s="178"/>
      <c r="M136" s="178"/>
      <c r="N136" s="162"/>
      <c r="O136" s="162"/>
      <c r="P136" s="163"/>
      <c r="Q136" s="166"/>
    </row>
    <row r="137" spans="1:17" s="52" customFormat="1" ht="21.6" customHeight="1" x14ac:dyDescent="0.3">
      <c r="A137" s="48"/>
      <c r="B137" s="203"/>
      <c r="C137" s="186"/>
      <c r="D137" s="188"/>
      <c r="E137" s="190"/>
      <c r="F137" s="190"/>
      <c r="G137" s="190"/>
      <c r="H137" s="190"/>
      <c r="I137" s="190"/>
      <c r="J137" s="180"/>
      <c r="K137" s="180"/>
      <c r="L137" s="178"/>
      <c r="M137" s="178"/>
      <c r="N137" s="162"/>
      <c r="O137" s="162"/>
      <c r="P137" s="163"/>
      <c r="Q137" s="166"/>
    </row>
    <row r="138" spans="1:17" s="52" customFormat="1" ht="21.6" customHeight="1" x14ac:dyDescent="0.3">
      <c r="A138" s="48"/>
      <c r="B138" s="203"/>
      <c r="C138" s="186"/>
      <c r="D138" s="188"/>
      <c r="E138" s="190"/>
      <c r="F138" s="190"/>
      <c r="G138" s="190"/>
      <c r="H138" s="190"/>
      <c r="I138" s="189"/>
      <c r="J138" s="180"/>
      <c r="K138" s="180"/>
      <c r="L138" s="181"/>
      <c r="M138" s="181"/>
      <c r="N138" s="162"/>
      <c r="O138" s="162"/>
      <c r="P138" s="163"/>
      <c r="Q138" s="166"/>
    </row>
    <row r="139" spans="1:17" s="52" customFormat="1" ht="21.6" customHeight="1" x14ac:dyDescent="0.3">
      <c r="A139" s="48"/>
      <c r="B139" s="203"/>
      <c r="C139" s="186"/>
      <c r="D139" s="188"/>
      <c r="E139" s="190"/>
      <c r="F139" s="190"/>
      <c r="G139" s="190"/>
      <c r="H139" s="190"/>
      <c r="I139" s="189"/>
      <c r="J139" s="180"/>
      <c r="K139" s="180"/>
      <c r="L139" s="178"/>
      <c r="M139" s="178"/>
      <c r="N139" s="161"/>
      <c r="O139" s="162"/>
      <c r="P139" s="163"/>
      <c r="Q139" s="166"/>
    </row>
    <row r="140" spans="1:17" s="52" customFormat="1" ht="21.6" customHeight="1" x14ac:dyDescent="0.3">
      <c r="A140" s="48"/>
      <c r="B140" s="203"/>
      <c r="C140" s="186"/>
      <c r="D140" s="188"/>
      <c r="E140" s="190"/>
      <c r="F140" s="190"/>
      <c r="G140" s="190"/>
      <c r="H140" s="190"/>
      <c r="I140" s="190"/>
      <c r="J140" s="180"/>
      <c r="K140" s="180"/>
      <c r="L140" s="181"/>
      <c r="M140" s="178"/>
      <c r="N140" s="161"/>
      <c r="O140" s="162"/>
      <c r="P140" s="163"/>
      <c r="Q140" s="166"/>
    </row>
    <row r="141" spans="1:17" s="52" customFormat="1" ht="21.6" customHeight="1" x14ac:dyDescent="0.3">
      <c r="A141" s="48"/>
      <c r="B141" s="203"/>
      <c r="C141" s="186"/>
      <c r="D141" s="188"/>
      <c r="E141" s="190"/>
      <c r="F141" s="190"/>
      <c r="G141" s="190"/>
      <c r="H141" s="190"/>
      <c r="I141" s="190"/>
      <c r="J141" s="180"/>
      <c r="K141" s="180"/>
      <c r="L141" s="181"/>
      <c r="M141" s="181"/>
      <c r="N141" s="162"/>
      <c r="O141" s="162"/>
      <c r="P141" s="163"/>
      <c r="Q141" s="166"/>
    </row>
    <row r="142" spans="1:17" s="52" customFormat="1" ht="21.6" customHeight="1" x14ac:dyDescent="0.3">
      <c r="A142" s="48"/>
      <c r="B142" s="203"/>
      <c r="C142" s="186"/>
      <c r="D142" s="188"/>
      <c r="E142" s="190"/>
      <c r="F142" s="190"/>
      <c r="G142" s="190"/>
      <c r="H142" s="190"/>
      <c r="I142" s="190"/>
      <c r="J142" s="180"/>
      <c r="K142" s="180"/>
      <c r="L142" s="181"/>
      <c r="M142" s="178"/>
      <c r="N142" s="162"/>
      <c r="O142" s="162"/>
      <c r="P142" s="163"/>
      <c r="Q142" s="166"/>
    </row>
    <row r="143" spans="1:17" s="52" customFormat="1" ht="21.6" customHeight="1" x14ac:dyDescent="0.3">
      <c r="A143" s="48"/>
      <c r="B143" s="203"/>
      <c r="C143" s="186"/>
      <c r="D143" s="188"/>
      <c r="E143" s="190"/>
      <c r="F143" s="190"/>
      <c r="G143" s="190"/>
      <c r="H143" s="190"/>
      <c r="I143" s="190"/>
      <c r="J143" s="180"/>
      <c r="K143" s="180"/>
      <c r="L143" s="178"/>
      <c r="M143" s="181"/>
      <c r="N143" s="162"/>
      <c r="O143" s="162"/>
      <c r="P143" s="163"/>
      <c r="Q143" s="166"/>
    </row>
    <row r="144" spans="1:17" s="52" customFormat="1" ht="21.6" customHeight="1" x14ac:dyDescent="0.3">
      <c r="A144" s="48"/>
      <c r="B144" s="203"/>
      <c r="C144" s="186"/>
      <c r="D144" s="188"/>
      <c r="E144" s="190"/>
      <c r="F144" s="190"/>
      <c r="G144" s="190"/>
      <c r="H144" s="190"/>
      <c r="I144" s="190"/>
      <c r="J144" s="180"/>
      <c r="K144" s="180"/>
      <c r="L144" s="178"/>
      <c r="M144" s="178"/>
      <c r="N144" s="162"/>
      <c r="O144" s="162"/>
      <c r="P144" s="163"/>
      <c r="Q144" s="166"/>
    </row>
    <row r="145" spans="1:17" s="52" customFormat="1" ht="21.6" customHeight="1" x14ac:dyDescent="0.3">
      <c r="A145" s="48"/>
      <c r="B145" s="203"/>
      <c r="C145" s="186"/>
      <c r="D145" s="188"/>
      <c r="E145" s="190"/>
      <c r="F145" s="190"/>
      <c r="G145" s="190"/>
      <c r="H145" s="190"/>
      <c r="I145" s="190"/>
      <c r="J145" s="180"/>
      <c r="K145" s="180"/>
      <c r="L145" s="178"/>
      <c r="M145" s="181"/>
      <c r="N145" s="162"/>
      <c r="O145" s="162"/>
      <c r="P145" s="163"/>
      <c r="Q145" s="166"/>
    </row>
    <row r="146" spans="1:17" s="52" customFormat="1" ht="21.6" customHeight="1" x14ac:dyDescent="0.3">
      <c r="A146" s="48"/>
      <c r="B146" s="203"/>
      <c r="C146" s="186"/>
      <c r="D146" s="188"/>
      <c r="E146" s="190"/>
      <c r="F146" s="190"/>
      <c r="G146" s="190"/>
      <c r="H146" s="190"/>
      <c r="I146" s="190"/>
      <c r="J146" s="180"/>
      <c r="K146" s="180"/>
      <c r="L146" s="178"/>
      <c r="M146" s="178"/>
      <c r="N146" s="162"/>
      <c r="O146" s="162"/>
      <c r="P146" s="163"/>
      <c r="Q146" s="166"/>
    </row>
    <row r="147" spans="1:17" s="52" customFormat="1" ht="21.6" customHeight="1" x14ac:dyDescent="0.3">
      <c r="A147" s="48"/>
      <c r="B147" s="203"/>
      <c r="C147" s="186"/>
      <c r="D147" s="188"/>
      <c r="E147" s="190"/>
      <c r="F147" s="190"/>
      <c r="G147" s="190"/>
      <c r="H147" s="190"/>
      <c r="I147" s="190"/>
      <c r="J147" s="180"/>
      <c r="K147" s="180"/>
      <c r="L147" s="178"/>
      <c r="M147" s="178"/>
      <c r="N147" s="162"/>
      <c r="O147" s="162"/>
      <c r="P147" s="163"/>
      <c r="Q147" s="166"/>
    </row>
    <row r="148" spans="1:17" s="52" customFormat="1" ht="21.6" customHeight="1" x14ac:dyDescent="0.3">
      <c r="A148" s="48"/>
      <c r="B148" s="203"/>
      <c r="C148" s="186"/>
      <c r="D148" s="188"/>
      <c r="E148" s="190"/>
      <c r="F148" s="190"/>
      <c r="G148" s="190"/>
      <c r="H148" s="190"/>
      <c r="I148" s="190"/>
      <c r="J148" s="180"/>
      <c r="K148" s="180"/>
      <c r="L148" s="178"/>
      <c r="M148" s="178"/>
      <c r="N148" s="161"/>
      <c r="O148" s="161"/>
      <c r="P148" s="163"/>
      <c r="Q148" s="166"/>
    </row>
    <row r="149" spans="1:17" s="52" customFormat="1" ht="21.6" customHeight="1" x14ac:dyDescent="0.3">
      <c r="A149" s="48"/>
      <c r="B149" s="203"/>
      <c r="C149" s="186"/>
      <c r="D149" s="188"/>
      <c r="E149" s="190"/>
      <c r="F149" s="190"/>
      <c r="G149" s="190"/>
      <c r="H149" s="190"/>
      <c r="I149" s="190"/>
      <c r="J149" s="180"/>
      <c r="K149" s="180"/>
      <c r="L149" s="178"/>
      <c r="M149" s="181"/>
      <c r="N149" s="162"/>
      <c r="O149" s="162"/>
      <c r="P149" s="163"/>
      <c r="Q149" s="166"/>
    </row>
    <row r="150" spans="1:17" s="52" customFormat="1" ht="21.6" customHeight="1" x14ac:dyDescent="0.3">
      <c r="A150" s="48"/>
      <c r="B150" s="203"/>
      <c r="C150" s="186"/>
      <c r="D150" s="188"/>
      <c r="E150" s="190"/>
      <c r="F150" s="190"/>
      <c r="G150" s="190"/>
      <c r="H150" s="190"/>
      <c r="I150" s="190"/>
      <c r="J150" s="180"/>
      <c r="K150" s="180"/>
      <c r="L150" s="178"/>
      <c r="M150" s="178"/>
      <c r="N150" s="162"/>
      <c r="O150" s="162"/>
      <c r="P150" s="163"/>
      <c r="Q150" s="166"/>
    </row>
    <row r="151" spans="1:17" s="52" customFormat="1" ht="21.6" customHeight="1" x14ac:dyDescent="0.3">
      <c r="A151" s="48"/>
      <c r="B151" s="203"/>
      <c r="C151" s="186"/>
      <c r="D151" s="188"/>
      <c r="E151" s="190"/>
      <c r="F151" s="190"/>
      <c r="G151" s="190"/>
      <c r="H151" s="190"/>
      <c r="I151" s="190"/>
      <c r="J151" s="180"/>
      <c r="K151" s="180"/>
      <c r="L151" s="178"/>
      <c r="M151" s="181"/>
      <c r="N151" s="162"/>
      <c r="O151" s="162"/>
      <c r="P151" s="163"/>
      <c r="Q151" s="166"/>
    </row>
    <row r="152" spans="1:17" s="52" customFormat="1" ht="21.6" customHeight="1" x14ac:dyDescent="0.3">
      <c r="A152" s="48"/>
      <c r="B152" s="203"/>
      <c r="C152" s="186"/>
      <c r="D152" s="188"/>
      <c r="E152" s="190"/>
      <c r="F152" s="190"/>
      <c r="G152" s="198"/>
      <c r="H152" s="190"/>
      <c r="I152" s="190"/>
      <c r="J152" s="180"/>
      <c r="K152" s="180"/>
      <c r="L152" s="178"/>
      <c r="M152" s="178"/>
      <c r="N152" s="162"/>
      <c r="O152" s="162"/>
      <c r="P152" s="163"/>
      <c r="Q152" s="166"/>
    </row>
    <row r="153" spans="1:17" s="52" customFormat="1" ht="21.6" customHeight="1" x14ac:dyDescent="0.3">
      <c r="A153" s="48"/>
      <c r="B153" s="203"/>
      <c r="C153" s="186"/>
      <c r="D153" s="188"/>
      <c r="E153" s="190"/>
      <c r="F153" s="190"/>
      <c r="G153" s="190"/>
      <c r="H153" s="190"/>
      <c r="I153" s="190"/>
      <c r="J153" s="180"/>
      <c r="K153" s="180"/>
      <c r="L153" s="178"/>
      <c r="M153" s="178"/>
      <c r="N153" s="162"/>
      <c r="O153" s="162"/>
      <c r="P153" s="163"/>
      <c r="Q153" s="166"/>
    </row>
    <row r="154" spans="1:17" s="52" customFormat="1" ht="21.6" customHeight="1" x14ac:dyDescent="0.3">
      <c r="A154" s="48"/>
      <c r="B154" s="203"/>
      <c r="C154" s="186"/>
      <c r="D154" s="188"/>
      <c r="E154" s="190"/>
      <c r="F154" s="190"/>
      <c r="G154" s="190"/>
      <c r="H154" s="190"/>
      <c r="I154" s="190"/>
      <c r="J154" s="180"/>
      <c r="K154" s="180"/>
      <c r="L154" s="178"/>
      <c r="M154" s="178"/>
      <c r="N154" s="161"/>
      <c r="O154" s="161"/>
      <c r="P154" s="163"/>
      <c r="Q154" s="166"/>
    </row>
    <row r="155" spans="1:17" s="52" customFormat="1" ht="21.6" customHeight="1" x14ac:dyDescent="0.3">
      <c r="A155" s="48"/>
      <c r="B155" s="203"/>
      <c r="C155" s="186"/>
      <c r="D155" s="188"/>
      <c r="E155" s="190"/>
      <c r="F155" s="190"/>
      <c r="G155" s="190"/>
      <c r="H155" s="190"/>
      <c r="I155" s="190"/>
      <c r="J155" s="180"/>
      <c r="K155" s="180"/>
      <c r="L155" s="178"/>
      <c r="M155" s="178"/>
      <c r="N155" s="161"/>
      <c r="O155" s="161"/>
      <c r="P155" s="163"/>
      <c r="Q155" s="166"/>
    </row>
    <row r="156" spans="1:17" s="52" customFormat="1" ht="21.6" customHeight="1" x14ac:dyDescent="0.3">
      <c r="A156" s="48"/>
      <c r="B156" s="203"/>
      <c r="C156" s="186"/>
      <c r="D156" s="188"/>
      <c r="E156" s="190"/>
      <c r="F156" s="190"/>
      <c r="G156" s="190"/>
      <c r="H156" s="190"/>
      <c r="I156" s="190"/>
      <c r="J156" s="180"/>
      <c r="K156" s="180"/>
      <c r="L156" s="178"/>
      <c r="M156" s="178"/>
      <c r="N156" s="161"/>
      <c r="O156" s="161"/>
      <c r="P156" s="163"/>
      <c r="Q156" s="166"/>
    </row>
    <row r="157" spans="1:17" s="52" customFormat="1" ht="21.6" customHeight="1" x14ac:dyDescent="0.3">
      <c r="A157" s="48"/>
      <c r="B157" s="203"/>
      <c r="C157" s="186"/>
      <c r="D157" s="188"/>
      <c r="E157" s="190"/>
      <c r="F157" s="190"/>
      <c r="G157" s="190"/>
      <c r="H157" s="190"/>
      <c r="I157" s="190"/>
      <c r="J157" s="180"/>
      <c r="K157" s="180"/>
      <c r="L157" s="178"/>
      <c r="M157" s="178"/>
      <c r="N157" s="161"/>
      <c r="O157" s="161"/>
      <c r="P157" s="163"/>
      <c r="Q157" s="166"/>
    </row>
    <row r="158" spans="1:17" s="52" customFormat="1" ht="21.6" customHeight="1" x14ac:dyDescent="0.3">
      <c r="A158" s="48"/>
      <c r="B158" s="203"/>
      <c r="C158" s="186"/>
      <c r="D158" s="188"/>
      <c r="E158" s="190"/>
      <c r="F158" s="190"/>
      <c r="G158" s="190"/>
      <c r="H158" s="190"/>
      <c r="I158" s="190"/>
      <c r="J158" s="177"/>
      <c r="K158" s="180"/>
      <c r="L158" s="178"/>
      <c r="M158" s="178"/>
      <c r="N158" s="162"/>
      <c r="O158" s="162"/>
      <c r="P158" s="163"/>
      <c r="Q158" s="166"/>
    </row>
    <row r="159" spans="1:17" s="52" customFormat="1" ht="21.6" customHeight="1" x14ac:dyDescent="0.3">
      <c r="A159" s="48"/>
      <c r="B159" s="203"/>
      <c r="C159" s="186"/>
      <c r="D159" s="188"/>
      <c r="E159" s="190"/>
      <c r="F159" s="190"/>
      <c r="G159" s="190"/>
      <c r="H159" s="190"/>
      <c r="I159" s="190"/>
      <c r="J159" s="177"/>
      <c r="K159" s="180"/>
      <c r="L159" s="178"/>
      <c r="M159" s="181"/>
      <c r="N159" s="162"/>
      <c r="O159" s="162"/>
      <c r="P159" s="163"/>
      <c r="Q159" s="166"/>
    </row>
    <row r="160" spans="1:17" s="52" customFormat="1" ht="21.6" customHeight="1" x14ac:dyDescent="0.3">
      <c r="A160" s="48"/>
      <c r="B160" s="203"/>
      <c r="C160" s="186"/>
      <c r="D160" s="188"/>
      <c r="E160" s="190"/>
      <c r="F160" s="190"/>
      <c r="G160" s="190"/>
      <c r="H160" s="190"/>
      <c r="I160" s="190"/>
      <c r="J160" s="177"/>
      <c r="K160" s="180"/>
      <c r="L160" s="178"/>
      <c r="M160" s="181"/>
      <c r="N160" s="162"/>
      <c r="O160" s="162"/>
      <c r="P160" s="163"/>
      <c r="Q160" s="166"/>
    </row>
    <row r="161" spans="1:17" s="52" customFormat="1" ht="21.6" customHeight="1" x14ac:dyDescent="0.3">
      <c r="A161" s="48"/>
      <c r="B161" s="203"/>
      <c r="C161" s="186"/>
      <c r="D161" s="188"/>
      <c r="E161" s="190"/>
      <c r="F161" s="190"/>
      <c r="G161" s="190"/>
      <c r="H161" s="190"/>
      <c r="I161" s="190"/>
      <c r="J161" s="177"/>
      <c r="K161" s="180"/>
      <c r="L161" s="178"/>
      <c r="M161" s="181"/>
      <c r="N161" s="162"/>
      <c r="O161" s="162"/>
      <c r="P161" s="163"/>
      <c r="Q161" s="166"/>
    </row>
    <row r="162" spans="1:17" s="52" customFormat="1" ht="21.6" customHeight="1" x14ac:dyDescent="0.3">
      <c r="A162" s="48"/>
      <c r="B162" s="203"/>
      <c r="C162" s="186"/>
      <c r="D162" s="188"/>
      <c r="E162" s="190"/>
      <c r="F162" s="190"/>
      <c r="G162" s="190"/>
      <c r="H162" s="190"/>
      <c r="I162" s="190"/>
      <c r="J162" s="177"/>
      <c r="K162" s="180"/>
      <c r="L162" s="178"/>
      <c r="M162" s="181"/>
      <c r="N162" s="162"/>
      <c r="O162" s="162"/>
      <c r="P162" s="163"/>
      <c r="Q162" s="166"/>
    </row>
    <row r="163" spans="1:17" ht="21.6" customHeight="1" x14ac:dyDescent="0.3">
      <c r="A163" s="49"/>
      <c r="B163" s="203"/>
      <c r="C163" s="186"/>
      <c r="D163" s="188"/>
      <c r="E163" s="190"/>
      <c r="F163" s="190"/>
      <c r="G163" s="190"/>
      <c r="H163" s="190"/>
      <c r="I163" s="190"/>
      <c r="J163" s="177"/>
      <c r="K163" s="180"/>
      <c r="L163" s="178"/>
      <c r="M163" s="181"/>
      <c r="N163" s="162"/>
      <c r="O163" s="162"/>
      <c r="P163" s="163"/>
      <c r="Q163" s="166"/>
    </row>
    <row r="164" spans="1:17" ht="21.6" customHeight="1" x14ac:dyDescent="0.3">
      <c r="A164" s="49"/>
      <c r="B164" s="203"/>
      <c r="C164" s="186"/>
      <c r="D164" s="188"/>
      <c r="E164" s="190"/>
      <c r="F164" s="190"/>
      <c r="G164" s="190"/>
      <c r="H164" s="190"/>
      <c r="I164" s="190"/>
      <c r="J164" s="177"/>
      <c r="K164" s="180"/>
      <c r="L164" s="178"/>
      <c r="M164" s="178"/>
      <c r="N164" s="162"/>
      <c r="O164" s="162"/>
      <c r="P164" s="163"/>
      <c r="Q164" s="166"/>
    </row>
    <row r="165" spans="1:17" ht="21.6" customHeight="1" x14ac:dyDescent="0.3">
      <c r="A165" s="49"/>
      <c r="B165" s="205"/>
      <c r="C165" s="186"/>
      <c r="D165" s="188"/>
      <c r="E165" s="190"/>
      <c r="F165" s="190"/>
      <c r="G165" s="190"/>
      <c r="H165" s="190"/>
      <c r="I165" s="190"/>
      <c r="J165" s="180"/>
      <c r="K165" s="180"/>
      <c r="L165" s="178"/>
      <c r="M165" s="178"/>
      <c r="N165" s="162"/>
      <c r="O165" s="162"/>
      <c r="P165" s="163"/>
      <c r="Q165" s="166"/>
    </row>
    <row r="166" spans="1:17" ht="21.6" customHeight="1" x14ac:dyDescent="0.3">
      <c r="A166" s="49"/>
      <c r="B166" s="205"/>
      <c r="C166" s="186"/>
      <c r="D166" s="188"/>
      <c r="E166" s="190"/>
      <c r="F166" s="190"/>
      <c r="G166" s="190"/>
      <c r="H166" s="190"/>
      <c r="I166" s="190"/>
      <c r="J166" s="180"/>
      <c r="K166" s="180"/>
      <c r="L166" s="178"/>
      <c r="M166" s="181"/>
      <c r="N166" s="161"/>
      <c r="O166" s="161"/>
      <c r="P166" s="163"/>
      <c r="Q166" s="166"/>
    </row>
    <row r="167" spans="1:17" ht="21.6" customHeight="1" x14ac:dyDescent="0.3">
      <c r="A167" s="49"/>
      <c r="B167" s="205"/>
      <c r="C167" s="186"/>
      <c r="D167" s="188"/>
      <c r="E167" s="190"/>
      <c r="F167" s="190"/>
      <c r="G167" s="190"/>
      <c r="H167" s="190"/>
      <c r="I167" s="190"/>
      <c r="J167" s="180"/>
      <c r="K167" s="180"/>
      <c r="L167" s="178"/>
      <c r="M167" s="181"/>
      <c r="N167" s="161"/>
      <c r="O167" s="161"/>
      <c r="P167" s="163"/>
      <c r="Q167" s="166"/>
    </row>
    <row r="168" spans="1:17" ht="21.6" customHeight="1" x14ac:dyDescent="0.3">
      <c r="A168" s="49"/>
      <c r="B168" s="205"/>
      <c r="C168" s="186"/>
      <c r="D168" s="188"/>
      <c r="E168" s="190"/>
      <c r="F168" s="190"/>
      <c r="G168" s="190"/>
      <c r="H168" s="190"/>
      <c r="I168" s="190"/>
      <c r="J168" s="180"/>
      <c r="K168" s="180"/>
      <c r="L168" s="178"/>
      <c r="M168" s="181"/>
      <c r="N168" s="161"/>
      <c r="O168" s="161"/>
      <c r="P168" s="163"/>
      <c r="Q168" s="166"/>
    </row>
    <row r="169" spans="1:17" ht="21.6" customHeight="1" x14ac:dyDescent="0.3">
      <c r="A169" s="49"/>
      <c r="B169" s="205"/>
      <c r="C169" s="186"/>
      <c r="D169" s="188"/>
      <c r="E169" s="190"/>
      <c r="F169" s="190"/>
      <c r="G169" s="190"/>
      <c r="H169" s="190"/>
      <c r="I169" s="190"/>
      <c r="J169" s="180"/>
      <c r="K169" s="180"/>
      <c r="L169" s="178"/>
      <c r="M169" s="178"/>
      <c r="N169" s="161"/>
      <c r="O169" s="161"/>
      <c r="P169" s="163"/>
      <c r="Q169" s="166"/>
    </row>
    <row r="170" spans="1:17" ht="21.6" customHeight="1" x14ac:dyDescent="0.3">
      <c r="A170" s="49"/>
      <c r="B170" s="205"/>
      <c r="C170" s="186"/>
      <c r="D170" s="188"/>
      <c r="E170" s="190"/>
      <c r="F170" s="190"/>
      <c r="G170" s="190"/>
      <c r="H170" s="190"/>
      <c r="I170" s="190"/>
      <c r="J170" s="180"/>
      <c r="K170" s="180"/>
      <c r="L170" s="178"/>
      <c r="M170" s="181"/>
      <c r="N170" s="161"/>
      <c r="O170" s="161"/>
      <c r="P170" s="163"/>
      <c r="Q170" s="166"/>
    </row>
    <row r="171" spans="1:17" ht="21.6" customHeight="1" x14ac:dyDescent="0.3">
      <c r="A171" s="49"/>
      <c r="B171" s="205"/>
      <c r="C171" s="186"/>
      <c r="D171" s="188"/>
      <c r="E171" s="190"/>
      <c r="F171" s="190"/>
      <c r="G171" s="190"/>
      <c r="H171" s="190"/>
      <c r="I171" s="190"/>
      <c r="J171" s="180"/>
      <c r="K171" s="180"/>
      <c r="L171" s="181"/>
      <c r="M171" s="181"/>
      <c r="N171" s="161"/>
      <c r="O171" s="161"/>
      <c r="P171" s="163"/>
      <c r="Q171" s="166"/>
    </row>
    <row r="172" spans="1:17" ht="21.6" customHeight="1" x14ac:dyDescent="0.3">
      <c r="A172" s="49"/>
      <c r="B172" s="205"/>
      <c r="C172" s="186"/>
      <c r="D172" s="188"/>
      <c r="E172" s="190"/>
      <c r="F172" s="190"/>
      <c r="G172" s="190"/>
      <c r="H172" s="190"/>
      <c r="I172" s="190"/>
      <c r="J172" s="180"/>
      <c r="K172" s="180"/>
      <c r="L172" s="178"/>
      <c r="M172" s="178"/>
      <c r="N172" s="161"/>
      <c r="O172" s="161"/>
      <c r="P172" s="163"/>
      <c r="Q172" s="166"/>
    </row>
    <row r="173" spans="1:17" ht="21.6" customHeight="1" x14ac:dyDescent="0.3">
      <c r="A173" s="49"/>
      <c r="B173" s="203"/>
      <c r="C173" s="186"/>
      <c r="D173" s="188"/>
      <c r="E173" s="190"/>
      <c r="F173" s="190"/>
      <c r="G173" s="190"/>
      <c r="H173" s="190"/>
      <c r="I173" s="190"/>
      <c r="J173" s="180"/>
      <c r="K173" s="180"/>
      <c r="L173" s="178"/>
      <c r="M173" s="178"/>
      <c r="N173" s="162"/>
      <c r="O173" s="161"/>
      <c r="P173" s="163"/>
      <c r="Q173" s="166"/>
    </row>
    <row r="174" spans="1:17" ht="21.6" customHeight="1" x14ac:dyDescent="0.3">
      <c r="A174" s="49"/>
      <c r="B174" s="205"/>
      <c r="C174" s="186"/>
      <c r="D174" s="188"/>
      <c r="E174" s="190"/>
      <c r="F174" s="190"/>
      <c r="G174" s="190"/>
      <c r="H174" s="190"/>
      <c r="I174" s="190"/>
      <c r="J174" s="180"/>
      <c r="K174" s="180"/>
      <c r="L174" s="178"/>
      <c r="M174" s="181"/>
      <c r="N174" s="161"/>
      <c r="O174" s="161"/>
      <c r="P174" s="163"/>
      <c r="Q174" s="166"/>
    </row>
    <row r="175" spans="1:17" ht="21.6" customHeight="1" x14ac:dyDescent="0.3">
      <c r="A175" s="49"/>
      <c r="B175" s="205"/>
      <c r="C175" s="186"/>
      <c r="D175" s="188"/>
      <c r="E175" s="190"/>
      <c r="F175" s="190"/>
      <c r="G175" s="190"/>
      <c r="H175" s="190"/>
      <c r="I175" s="190"/>
      <c r="J175" s="180"/>
      <c r="K175" s="180"/>
      <c r="L175" s="178"/>
      <c r="M175" s="181"/>
      <c r="N175" s="161"/>
      <c r="O175" s="161"/>
      <c r="P175" s="163"/>
      <c r="Q175" s="166"/>
    </row>
    <row r="176" spans="1:17" ht="21.6" customHeight="1" x14ac:dyDescent="0.3">
      <c r="A176" s="49"/>
      <c r="B176" s="205"/>
      <c r="C176" s="186"/>
      <c r="D176" s="188"/>
      <c r="E176" s="190"/>
      <c r="F176" s="190"/>
      <c r="G176" s="190"/>
      <c r="H176" s="190"/>
      <c r="I176" s="190"/>
      <c r="J176" s="180"/>
      <c r="K176" s="180"/>
      <c r="L176" s="178"/>
      <c r="M176" s="178"/>
      <c r="N176" s="162"/>
      <c r="O176" s="162"/>
      <c r="P176" s="163"/>
      <c r="Q176" s="166"/>
    </row>
    <row r="177" spans="1:17" ht="21.6" customHeight="1" x14ac:dyDescent="0.3">
      <c r="A177" s="49"/>
      <c r="B177" s="205"/>
      <c r="C177" s="186"/>
      <c r="D177" s="188"/>
      <c r="E177" s="190"/>
      <c r="F177" s="190"/>
      <c r="G177" s="190"/>
      <c r="H177" s="190"/>
      <c r="I177" s="190"/>
      <c r="J177" s="180"/>
      <c r="K177" s="180"/>
      <c r="L177" s="178"/>
      <c r="M177" s="178"/>
      <c r="N177" s="161"/>
      <c r="O177" s="162"/>
      <c r="P177" s="163"/>
      <c r="Q177" s="166"/>
    </row>
    <row r="178" spans="1:17" ht="21.6" customHeight="1" x14ac:dyDescent="0.3">
      <c r="A178" s="49"/>
      <c r="B178" s="204"/>
      <c r="C178" s="186"/>
      <c r="D178" s="188"/>
      <c r="E178" s="192"/>
      <c r="F178" s="190"/>
      <c r="G178" s="193"/>
      <c r="H178" s="190"/>
      <c r="I178" s="193"/>
      <c r="J178" s="183"/>
      <c r="K178" s="183"/>
      <c r="L178" s="178"/>
      <c r="M178" s="178"/>
      <c r="N178" s="161"/>
      <c r="O178" s="161"/>
      <c r="P178" s="161"/>
      <c r="Q178" s="166"/>
    </row>
    <row r="179" spans="1:17" ht="21.6" customHeight="1" x14ac:dyDescent="0.3">
      <c r="A179" s="49"/>
      <c r="B179" s="204"/>
      <c r="C179" s="186"/>
      <c r="D179" s="188"/>
      <c r="E179" s="192"/>
      <c r="F179" s="190"/>
      <c r="G179" s="193"/>
      <c r="H179" s="190"/>
      <c r="I179" s="193"/>
      <c r="J179" s="183"/>
      <c r="K179" s="183"/>
      <c r="L179" s="178"/>
      <c r="M179" s="181"/>
      <c r="N179" s="161"/>
      <c r="O179" s="161"/>
      <c r="P179" s="161"/>
      <c r="Q179" s="166"/>
    </row>
    <row r="180" spans="1:17" ht="21.6" customHeight="1" x14ac:dyDescent="0.3">
      <c r="A180" s="49"/>
      <c r="B180" s="204"/>
      <c r="C180" s="186"/>
      <c r="D180" s="188"/>
      <c r="E180" s="192"/>
      <c r="F180" s="190"/>
      <c r="G180" s="193"/>
      <c r="H180" s="190"/>
      <c r="I180" s="193"/>
      <c r="J180" s="183"/>
      <c r="K180" s="183"/>
      <c r="L180" s="178"/>
      <c r="M180" s="178"/>
      <c r="N180" s="162"/>
      <c r="O180" s="161"/>
      <c r="P180" s="161"/>
      <c r="Q180" s="166"/>
    </row>
    <row r="181" spans="1:17" ht="21.6" customHeight="1" x14ac:dyDescent="0.3">
      <c r="A181" s="49"/>
      <c r="B181" s="204"/>
      <c r="C181" s="186"/>
      <c r="D181" s="188"/>
      <c r="E181" s="192"/>
      <c r="F181" s="190"/>
      <c r="G181" s="193"/>
      <c r="H181" s="190"/>
      <c r="I181" s="190"/>
      <c r="J181" s="183"/>
      <c r="K181" s="183"/>
      <c r="L181" s="178"/>
      <c r="M181" s="178"/>
      <c r="N181" s="162"/>
      <c r="O181" s="161"/>
      <c r="P181" s="163"/>
      <c r="Q181" s="166"/>
    </row>
    <row r="182" spans="1:17" ht="21.6" customHeight="1" x14ac:dyDescent="0.3">
      <c r="A182" s="49"/>
      <c r="B182" s="204"/>
      <c r="C182" s="186"/>
      <c r="D182" s="188"/>
      <c r="E182" s="192"/>
      <c r="F182" s="190"/>
      <c r="G182" s="193"/>
      <c r="H182" s="190"/>
      <c r="I182" s="193"/>
      <c r="J182" s="183"/>
      <c r="K182" s="183"/>
      <c r="L182" s="178"/>
      <c r="M182" s="178"/>
      <c r="N182" s="162"/>
      <c r="O182" s="161"/>
      <c r="P182" s="163"/>
      <c r="Q182" s="166"/>
    </row>
    <row r="183" spans="1:17" ht="21.6" customHeight="1" x14ac:dyDescent="0.3">
      <c r="A183" s="49"/>
      <c r="B183" s="203"/>
      <c r="C183" s="186"/>
      <c r="D183" s="188"/>
      <c r="E183" s="190"/>
      <c r="F183" s="190"/>
      <c r="G183" s="190"/>
      <c r="H183" s="190"/>
      <c r="I183" s="190"/>
      <c r="J183" s="180"/>
      <c r="K183" s="180"/>
      <c r="L183" s="178"/>
      <c r="M183" s="178"/>
      <c r="N183" s="162"/>
      <c r="O183" s="162"/>
      <c r="P183" s="163"/>
      <c r="Q183" s="166"/>
    </row>
    <row r="184" spans="1:17" ht="21.6" customHeight="1" x14ac:dyDescent="0.3">
      <c r="A184" s="49"/>
      <c r="B184" s="205"/>
      <c r="C184" s="186"/>
      <c r="D184" s="188"/>
      <c r="E184" s="190"/>
      <c r="F184" s="190"/>
      <c r="G184" s="190"/>
      <c r="H184" s="190"/>
      <c r="I184" s="190"/>
      <c r="J184" s="180"/>
      <c r="K184" s="180"/>
      <c r="L184" s="181"/>
      <c r="M184" s="181"/>
      <c r="N184" s="161"/>
      <c r="O184" s="161"/>
      <c r="P184" s="163"/>
      <c r="Q184" s="166"/>
    </row>
    <row r="185" spans="1:17" ht="21.6" customHeight="1" x14ac:dyDescent="0.3">
      <c r="A185" s="49"/>
      <c r="B185" s="205"/>
      <c r="C185" s="186"/>
      <c r="D185" s="188"/>
      <c r="E185" s="190"/>
      <c r="F185" s="190"/>
      <c r="G185" s="190"/>
      <c r="H185" s="190"/>
      <c r="I185" s="189"/>
      <c r="J185" s="180"/>
      <c r="K185" s="180"/>
      <c r="L185" s="181"/>
      <c r="M185" s="178"/>
      <c r="N185" s="162"/>
      <c r="O185" s="162"/>
      <c r="P185" s="163"/>
      <c r="Q185" s="170"/>
    </row>
    <row r="186" spans="1:17" ht="21.6" customHeight="1" x14ac:dyDescent="0.3">
      <c r="A186" s="49"/>
      <c r="B186" s="205"/>
      <c r="C186" s="186"/>
      <c r="D186" s="188"/>
      <c r="E186" s="190"/>
      <c r="F186" s="190"/>
      <c r="G186" s="190"/>
      <c r="H186" s="190"/>
      <c r="I186" s="190"/>
      <c r="J186" s="180"/>
      <c r="K186" s="180"/>
      <c r="L186" s="181"/>
      <c r="M186" s="178"/>
      <c r="N186" s="162"/>
      <c r="O186" s="162"/>
      <c r="P186" s="163"/>
      <c r="Q186" s="170"/>
    </row>
    <row r="187" spans="1:17" ht="21.6" customHeight="1" x14ac:dyDescent="0.3">
      <c r="A187" s="49"/>
      <c r="B187" s="205"/>
      <c r="C187" s="186"/>
      <c r="D187" s="188"/>
      <c r="E187" s="190"/>
      <c r="F187" s="190"/>
      <c r="G187" s="190"/>
      <c r="H187" s="190"/>
      <c r="I187" s="190"/>
      <c r="J187" s="177"/>
      <c r="K187" s="180"/>
      <c r="L187" s="181"/>
      <c r="M187" s="181"/>
      <c r="N187" s="162"/>
      <c r="O187" s="162"/>
      <c r="P187" s="163"/>
      <c r="Q187" s="170"/>
    </row>
    <row r="188" spans="1:17" ht="21.6" customHeight="1" x14ac:dyDescent="0.3">
      <c r="A188" s="49"/>
      <c r="B188" s="205"/>
      <c r="C188" s="186"/>
      <c r="D188" s="188"/>
      <c r="E188" s="190"/>
      <c r="F188" s="190"/>
      <c r="G188" s="190"/>
      <c r="H188" s="190"/>
      <c r="I188" s="189"/>
      <c r="J188" s="180"/>
      <c r="K188" s="180"/>
      <c r="L188" s="181"/>
      <c r="M188" s="181"/>
      <c r="N188" s="162"/>
      <c r="O188" s="162"/>
      <c r="P188" s="163"/>
      <c r="Q188" s="170"/>
    </row>
    <row r="189" spans="1:17" ht="21.6" customHeight="1" x14ac:dyDescent="0.3">
      <c r="A189" s="49"/>
      <c r="B189" s="205"/>
      <c r="C189" s="186"/>
      <c r="D189" s="188"/>
      <c r="E189" s="190"/>
      <c r="F189" s="190"/>
      <c r="G189" s="190"/>
      <c r="H189" s="190"/>
      <c r="I189" s="189"/>
      <c r="J189" s="180"/>
      <c r="K189" s="180"/>
      <c r="L189" s="181"/>
      <c r="M189" s="181"/>
      <c r="N189" s="162"/>
      <c r="O189" s="162"/>
      <c r="P189" s="163"/>
      <c r="Q189" s="170"/>
    </row>
    <row r="190" spans="1:17" ht="17.399999999999999" customHeight="1" x14ac:dyDescent="0.3">
      <c r="A190" s="49"/>
      <c r="B190" s="205"/>
      <c r="C190" s="186"/>
      <c r="D190" s="188"/>
      <c r="E190" s="190"/>
      <c r="F190" s="190"/>
      <c r="G190" s="190"/>
      <c r="H190" s="190"/>
      <c r="I190" s="189"/>
      <c r="J190" s="180"/>
      <c r="K190" s="180"/>
      <c r="L190" s="181"/>
      <c r="M190" s="181"/>
      <c r="N190" s="162"/>
      <c r="O190" s="162"/>
      <c r="P190" s="163"/>
      <c r="Q190" s="170"/>
    </row>
    <row r="191" spans="1:17" ht="17.399999999999999" customHeight="1" x14ac:dyDescent="0.3">
      <c r="A191" s="49"/>
      <c r="B191" s="205"/>
      <c r="C191" s="186"/>
      <c r="D191" s="188"/>
      <c r="E191" s="190"/>
      <c r="F191" s="190"/>
      <c r="G191" s="190"/>
      <c r="H191" s="190"/>
      <c r="I191" s="189"/>
      <c r="J191" s="180"/>
      <c r="K191" s="180"/>
      <c r="L191" s="181"/>
      <c r="M191" s="181"/>
      <c r="N191" s="162"/>
      <c r="O191" s="162"/>
      <c r="P191" s="163"/>
      <c r="Q191" s="170"/>
    </row>
    <row r="192" spans="1:17" ht="17.399999999999999" customHeight="1" x14ac:dyDescent="0.3">
      <c r="A192" s="49"/>
      <c r="B192" s="205"/>
      <c r="C192" s="186"/>
      <c r="D192" s="188"/>
      <c r="E192" s="190"/>
      <c r="F192" s="190"/>
      <c r="G192" s="190"/>
      <c r="H192" s="190"/>
      <c r="I192" s="189"/>
      <c r="J192" s="180"/>
      <c r="K192" s="180"/>
      <c r="L192" s="181"/>
      <c r="M192" s="181"/>
      <c r="N192" s="162"/>
      <c r="O192" s="162"/>
      <c r="P192" s="163"/>
      <c r="Q192" s="170"/>
    </row>
    <row r="193" spans="1:17" ht="17.399999999999999" customHeight="1" x14ac:dyDescent="0.3">
      <c r="A193" s="49"/>
      <c r="B193" s="204"/>
      <c r="C193" s="186"/>
      <c r="D193" s="188"/>
      <c r="E193" s="192"/>
      <c r="F193" s="190"/>
      <c r="G193" s="193"/>
      <c r="H193" s="190"/>
      <c r="I193" s="189"/>
      <c r="J193" s="183"/>
      <c r="K193" s="183"/>
      <c r="L193" s="178"/>
      <c r="M193" s="181"/>
      <c r="N193" s="161"/>
      <c r="O193" s="161"/>
      <c r="P193" s="167"/>
      <c r="Q193" s="166"/>
    </row>
    <row r="194" spans="1:17" ht="17.399999999999999" customHeight="1" x14ac:dyDescent="0.3">
      <c r="A194" s="49"/>
      <c r="B194" s="204"/>
      <c r="C194" s="186"/>
      <c r="D194" s="188"/>
      <c r="E194" s="192"/>
      <c r="F194" s="190"/>
      <c r="G194" s="198"/>
      <c r="H194" s="190"/>
      <c r="I194" s="189"/>
      <c r="J194" s="183"/>
      <c r="K194" s="183"/>
      <c r="L194" s="178"/>
      <c r="M194" s="181"/>
      <c r="N194" s="162"/>
      <c r="O194" s="161"/>
      <c r="P194" s="167"/>
      <c r="Q194" s="166"/>
    </row>
    <row r="195" spans="1:17" ht="17.399999999999999" customHeight="1" x14ac:dyDescent="0.3">
      <c r="A195" s="49"/>
      <c r="B195" s="204"/>
      <c r="C195" s="186"/>
      <c r="D195" s="188"/>
      <c r="E195" s="192"/>
      <c r="F195" s="190"/>
      <c r="G195" s="193"/>
      <c r="H195" s="190"/>
      <c r="I195" s="189"/>
      <c r="J195" s="183"/>
      <c r="K195" s="183"/>
      <c r="L195" s="178"/>
      <c r="M195" s="181"/>
      <c r="N195" s="161"/>
      <c r="O195" s="161"/>
      <c r="P195" s="161"/>
      <c r="Q195" s="166"/>
    </row>
    <row r="196" spans="1:17" ht="14.25" customHeight="1" x14ac:dyDescent="0.3">
      <c r="A196" s="49"/>
      <c r="B196" s="204"/>
      <c r="C196" s="186"/>
      <c r="D196" s="188"/>
      <c r="E196" s="192"/>
      <c r="F196" s="190"/>
      <c r="G196" s="193"/>
      <c r="H196" s="190"/>
      <c r="I196" s="189"/>
      <c r="J196" s="183"/>
      <c r="K196" s="183"/>
      <c r="L196" s="182"/>
      <c r="M196" s="182"/>
      <c r="N196" s="162"/>
      <c r="O196" s="162"/>
      <c r="P196" s="163"/>
      <c r="Q196" s="166"/>
    </row>
    <row r="197" spans="1:17" ht="14.25" customHeight="1" x14ac:dyDescent="0.3">
      <c r="A197" s="49"/>
      <c r="B197" s="204"/>
      <c r="C197" s="186"/>
      <c r="D197" s="188"/>
      <c r="E197" s="192"/>
      <c r="F197" s="190"/>
      <c r="G197" s="190"/>
      <c r="H197" s="190"/>
      <c r="I197" s="189"/>
      <c r="J197" s="180"/>
      <c r="K197" s="183"/>
      <c r="L197" s="182"/>
      <c r="M197" s="181"/>
      <c r="N197" s="162"/>
      <c r="O197" s="161"/>
      <c r="P197" s="167"/>
      <c r="Q197" s="166"/>
    </row>
    <row r="198" spans="1:17" ht="17.399999999999999" customHeight="1" x14ac:dyDescent="0.3">
      <c r="A198" s="49"/>
      <c r="B198" s="204"/>
      <c r="C198" s="186"/>
      <c r="D198" s="188"/>
      <c r="E198" s="192"/>
      <c r="F198" s="190"/>
      <c r="G198" s="193"/>
      <c r="H198" s="190"/>
      <c r="I198" s="189"/>
      <c r="J198" s="183"/>
      <c r="K198" s="183"/>
      <c r="L198" s="182"/>
      <c r="M198" s="181"/>
      <c r="N198" s="161"/>
      <c r="O198" s="161"/>
      <c r="P198" s="167"/>
      <c r="Q198" s="166"/>
    </row>
    <row r="199" spans="1:17" ht="17.399999999999999" customHeight="1" x14ac:dyDescent="0.25">
      <c r="A199" s="49"/>
      <c r="B199" s="204"/>
      <c r="C199" s="186"/>
      <c r="D199" s="188"/>
      <c r="E199" s="192"/>
      <c r="F199" s="190"/>
      <c r="G199" s="199"/>
      <c r="H199" s="190"/>
      <c r="I199" s="189"/>
      <c r="J199" s="184"/>
      <c r="K199" s="183"/>
      <c r="L199" s="182"/>
      <c r="M199" s="181"/>
      <c r="N199" s="162"/>
      <c r="O199" s="161"/>
      <c r="P199" s="167"/>
      <c r="Q199" s="166"/>
    </row>
    <row r="200" spans="1:17" ht="17.399999999999999" customHeight="1" x14ac:dyDescent="0.25">
      <c r="A200" s="49"/>
      <c r="B200" s="204"/>
      <c r="C200" s="186"/>
      <c r="D200" s="188"/>
      <c r="E200" s="192"/>
      <c r="F200" s="190"/>
      <c r="G200" s="200"/>
      <c r="H200" s="190"/>
      <c r="I200" s="189"/>
      <c r="J200" s="185"/>
      <c r="K200" s="183"/>
      <c r="L200" s="182"/>
      <c r="M200" s="181"/>
      <c r="N200" s="161"/>
      <c r="O200" s="161"/>
      <c r="P200" s="161"/>
      <c r="Q200" s="166"/>
    </row>
    <row r="201" spans="1:17" ht="17.399999999999999" customHeight="1" x14ac:dyDescent="0.3">
      <c r="A201" s="49"/>
      <c r="B201" s="204"/>
      <c r="C201" s="186"/>
      <c r="D201" s="188"/>
      <c r="E201" s="192"/>
      <c r="F201" s="190"/>
      <c r="G201" s="190"/>
      <c r="H201" s="190"/>
      <c r="I201" s="189"/>
      <c r="J201" s="180"/>
      <c r="K201" s="180"/>
      <c r="L201" s="182"/>
      <c r="M201" s="181"/>
      <c r="N201" s="161"/>
      <c r="O201" s="161"/>
      <c r="P201" s="161"/>
      <c r="Q201" s="165"/>
    </row>
    <row r="202" spans="1:17" ht="17.399999999999999" customHeight="1" x14ac:dyDescent="0.3">
      <c r="A202" s="49"/>
      <c r="B202" s="204"/>
      <c r="C202" s="186"/>
      <c r="D202" s="188"/>
      <c r="E202" s="190"/>
      <c r="F202" s="190"/>
      <c r="G202" s="190"/>
      <c r="H202" s="190"/>
      <c r="I202" s="189"/>
      <c r="J202" s="180"/>
      <c r="K202" s="180"/>
      <c r="L202" s="178"/>
      <c r="M202" s="181"/>
      <c r="N202" s="161"/>
      <c r="O202" s="161"/>
      <c r="P202" s="161"/>
      <c r="Q202" s="165"/>
    </row>
    <row r="203" spans="1:17" ht="17.399999999999999" customHeight="1" x14ac:dyDescent="0.3">
      <c r="A203" s="49"/>
      <c r="B203" s="204"/>
      <c r="C203" s="186"/>
      <c r="D203" s="188"/>
      <c r="E203" s="190"/>
      <c r="F203" s="190"/>
      <c r="G203" s="190"/>
      <c r="H203" s="190"/>
      <c r="I203" s="189"/>
      <c r="J203" s="180"/>
      <c r="K203" s="180"/>
      <c r="L203" s="178"/>
      <c r="M203" s="181"/>
      <c r="N203" s="161"/>
      <c r="O203" s="161"/>
      <c r="P203" s="161"/>
      <c r="Q203" s="165"/>
    </row>
    <row r="204" spans="1:17" ht="17.399999999999999" customHeight="1" x14ac:dyDescent="0.3">
      <c r="A204" s="49"/>
      <c r="B204" s="205"/>
      <c r="C204" s="186"/>
      <c r="D204" s="188"/>
      <c r="E204" s="190"/>
      <c r="F204" s="190"/>
      <c r="G204" s="190"/>
      <c r="H204" s="190"/>
      <c r="I204" s="189"/>
      <c r="J204" s="180"/>
      <c r="K204" s="180"/>
      <c r="L204" s="181"/>
      <c r="M204" s="181"/>
      <c r="N204" s="161"/>
      <c r="O204" s="161"/>
      <c r="P204" s="161"/>
      <c r="Q204" s="165"/>
    </row>
    <row r="205" spans="1:17" ht="17.399999999999999" customHeight="1" x14ac:dyDescent="0.3">
      <c r="A205" s="49"/>
      <c r="B205" s="205"/>
      <c r="C205" s="186"/>
      <c r="D205" s="188"/>
      <c r="E205" s="190"/>
      <c r="F205" s="190"/>
      <c r="G205" s="190"/>
      <c r="H205" s="190"/>
      <c r="I205" s="189"/>
      <c r="J205" s="180"/>
      <c r="K205" s="180"/>
      <c r="L205" s="181"/>
      <c r="M205" s="181"/>
      <c r="N205" s="161"/>
      <c r="O205" s="161"/>
      <c r="P205" s="161"/>
      <c r="Q205" s="165"/>
    </row>
    <row r="206" spans="1:17" ht="17.399999999999999" customHeight="1" x14ac:dyDescent="0.3">
      <c r="A206" s="49"/>
      <c r="B206" s="204"/>
      <c r="C206" s="186"/>
      <c r="D206" s="188"/>
      <c r="E206" s="190"/>
      <c r="F206" s="190"/>
      <c r="G206" s="190"/>
      <c r="H206" s="190"/>
      <c r="I206" s="189"/>
      <c r="J206" s="180"/>
      <c r="K206" s="180"/>
      <c r="L206" s="178"/>
      <c r="M206" s="181"/>
      <c r="N206" s="161"/>
      <c r="O206" s="161"/>
      <c r="P206" s="161"/>
      <c r="Q206" s="165"/>
    </row>
    <row r="207" spans="1:17" ht="17.399999999999999" customHeight="1" x14ac:dyDescent="0.3">
      <c r="A207" s="49"/>
      <c r="B207" s="206"/>
      <c r="C207" s="186"/>
      <c r="D207" s="188"/>
      <c r="E207" s="190"/>
      <c r="F207" s="190"/>
      <c r="G207" s="190"/>
      <c r="H207" s="190"/>
      <c r="I207" s="189"/>
      <c r="J207" s="180"/>
      <c r="K207" s="180"/>
      <c r="L207" s="181"/>
      <c r="M207" s="181"/>
      <c r="N207" s="161"/>
      <c r="O207" s="161"/>
      <c r="P207" s="161"/>
      <c r="Q207" s="165"/>
    </row>
    <row r="208" spans="1:17" ht="17.399999999999999" customHeight="1" x14ac:dyDescent="0.3">
      <c r="A208" s="49"/>
      <c r="B208" s="206"/>
      <c r="C208" s="186"/>
      <c r="D208" s="188"/>
      <c r="E208" s="190"/>
      <c r="F208" s="190"/>
      <c r="G208" s="190"/>
      <c r="H208" s="190"/>
      <c r="I208" s="189"/>
      <c r="J208" s="180"/>
      <c r="K208" s="180"/>
      <c r="L208" s="181"/>
      <c r="M208" s="181"/>
      <c r="N208" s="161"/>
      <c r="O208" s="161"/>
      <c r="P208" s="161"/>
      <c r="Q208" s="165"/>
    </row>
    <row r="209" spans="1:17" ht="17.399999999999999" customHeight="1" x14ac:dyDescent="0.3">
      <c r="A209" s="49"/>
      <c r="B209" s="206"/>
      <c r="C209" s="186"/>
      <c r="D209" s="188"/>
      <c r="E209" s="190"/>
      <c r="F209" s="190"/>
      <c r="G209" s="190"/>
      <c r="H209" s="190"/>
      <c r="I209" s="189"/>
      <c r="J209" s="180"/>
      <c r="K209" s="180"/>
      <c r="L209" s="181"/>
      <c r="M209" s="181"/>
      <c r="N209" s="161"/>
      <c r="O209" s="161"/>
      <c r="P209" s="161"/>
      <c r="Q209" s="165"/>
    </row>
    <row r="210" spans="1:17" ht="17.399999999999999" customHeight="1" x14ac:dyDescent="0.3">
      <c r="A210" s="49"/>
      <c r="B210" s="206"/>
      <c r="C210" s="186"/>
      <c r="D210" s="188"/>
      <c r="E210" s="190"/>
      <c r="F210" s="190"/>
      <c r="G210" s="190"/>
      <c r="H210" s="190"/>
      <c r="I210" s="189"/>
      <c r="J210" s="180"/>
      <c r="K210" s="180"/>
      <c r="L210" s="181"/>
      <c r="M210" s="181"/>
      <c r="N210" s="161"/>
      <c r="O210" s="161"/>
      <c r="P210" s="161"/>
      <c r="Q210" s="165"/>
    </row>
    <row r="211" spans="1:17" ht="17.399999999999999" customHeight="1" x14ac:dyDescent="0.3">
      <c r="A211" s="49"/>
      <c r="B211" s="203"/>
      <c r="C211" s="186"/>
      <c r="D211" s="188"/>
      <c r="E211" s="190"/>
      <c r="F211" s="190"/>
      <c r="G211" s="190"/>
      <c r="H211" s="190"/>
      <c r="I211" s="190"/>
      <c r="J211" s="180"/>
      <c r="K211" s="180"/>
      <c r="L211" s="178"/>
      <c r="M211" s="178"/>
      <c r="N211" s="162"/>
      <c r="O211" s="161"/>
      <c r="P211" s="163"/>
      <c r="Q211" s="166"/>
    </row>
  </sheetData>
  <autoFilter ref="A8" xr:uid="{00000000-0001-0000-0000-000000000000}"/>
  <dataConsolidate/>
  <phoneticPr fontId="5" type="noConversion"/>
  <conditionalFormatting sqref="M8:M194">
    <cfRule type="cellIs" dxfId="5" priority="1" operator="equal">
      <formula>"CERRADA"</formula>
    </cfRule>
  </conditionalFormatting>
  <conditionalFormatting sqref="M196:M211">
    <cfRule type="cellIs" dxfId="4" priority="32" operator="equal">
      <formula>"CERRADA"</formula>
    </cfRule>
  </conditionalFormatting>
  <conditionalFormatting sqref="N8:N184">
    <cfRule type="cellIs" dxfId="3" priority="2" operator="lessThanOrEqual">
      <formula>TODAY()</formula>
    </cfRule>
  </conditionalFormatting>
  <conditionalFormatting sqref="N186">
    <cfRule type="cellIs" dxfId="2" priority="4" operator="lessThanOrEqual">
      <formula>TODAY()</formula>
    </cfRule>
  </conditionalFormatting>
  <conditionalFormatting sqref="N189 N191 N194 N196:N197 N199">
    <cfRule type="cellIs" dxfId="1" priority="3" operator="lessThanOrEqual">
      <formula>TODAY()</formula>
    </cfRule>
  </conditionalFormatting>
  <conditionalFormatting sqref="N211">
    <cfRule type="cellIs" dxfId="0" priority="33" operator="lessThanOrEqual">
      <formula>TODAY()</formula>
    </cfRule>
  </conditionalFormatting>
  <dataValidations count="2">
    <dataValidation type="list" allowBlank="1" showInputMessage="1" showErrorMessage="1" sqref="IK14 SG14 ACC14 ALY14 AVU14 BFQ14 BPM14 BZI14 CJE14 CTA14 DCW14 DMS14 DWO14 EGK14 EQG14 FAC14 FJY14 FTU14 GDQ14 GNM14 GXI14 HHE14 HRA14 IAW14 IKS14 IUO14 JEK14 JOG14 JYC14 KHY14 KRU14 LBQ14 LLM14 LVI14 MFE14 MPA14 MYW14 NIS14 NSO14 OCK14 OMG14 OWC14 PFY14 PPU14 PZQ14 QJM14 QTI14 RDE14 RNA14 RWW14 SGS14 SQO14 TAK14 TKG14 TUC14 UDY14 UNU14 UXQ14 VHM14 VRI14 WBE14 WLA14 WUW14 IF14:IG14 WUR14:WUS14 WKV14:WKW14 WAZ14:WBA14 VRD14:VRE14 VHH14:VHI14 UXL14:UXM14 UNP14:UNQ14 UDT14:UDU14 TTX14:TTY14 TKB14:TKC14 TAF14:TAG14 SQJ14:SQK14 SGN14:SGO14 RWR14:RWS14 RMV14:RMW14 RCZ14:RDA14 QTD14:QTE14 QJH14:QJI14 PZL14:PZM14 PPP14:PPQ14 PFT14:PFU14 OVX14:OVY14 OMB14:OMC14 OCF14:OCG14 NSJ14:NSK14 NIN14:NIO14 MYR14:MYS14 MOV14:MOW14 MEZ14:MFA14 LVD14:LVE14 LLH14:LLI14 LBL14:LBM14 KRP14:KRQ14 KHT14:KHU14 JXX14:JXY14 JOB14:JOC14 JEF14:JEG14 IUJ14:IUK14 IKN14:IKO14 IAR14:IAS14 HQV14:HQW14 HGZ14:HHA14 GXD14:GXE14 GNH14:GNI14 GDL14:GDM14 FTP14:FTQ14 FJT14:FJU14 EZX14:EZY14 EQB14:EQC14 EGF14:EGG14 DWJ14:DWK14 DMN14:DMO14 DCR14:DCS14 CSV14:CSW14 CIZ14:CJA14 BZD14:BZE14 BPH14:BPI14 BFL14:BFM14 AVP14:AVQ14 ALT14:ALU14 ABX14:ABY14 SB14:SC14" xr:uid="{00000000-0002-0000-0000-000007000000}">
      <formula1>#REF!</formula1>
    </dataValidation>
    <dataValidation type="list" allowBlank="1" showInputMessage="1" showErrorMessage="1" sqref="IJ14 WUV14 WKZ14 WBD14 VRH14 VHL14 UXP14 UNT14 UDX14 TUB14 TKF14 TAJ14 SQN14 SGR14 RWV14 RMZ14 RDD14 QTH14 QJL14 PZP14 PPT14 PFX14 OWB14 OMF14 OCJ14 NSN14 NIR14 MYV14 MOZ14 MFD14 LVH14 LLL14 LBP14 KRT14 KHX14 JYB14 JOF14 JEJ14 IUN14 IKR14 IAV14 HQZ14 HHD14 GXH14 GNL14 GDP14 FTT14 FJX14 FAB14 EQF14 EGJ14 DWN14 DMR14 DCV14 CSZ14 CJD14 BZH14 BPL14 BFP14 AVT14 ALX14 ACB14 SF14" xr:uid="{00000000-0002-0000-0000-000009000000}">
      <formula1>$S$14:$S$14</formula1>
    </dataValidation>
  </dataValidations>
  <printOptions horizontalCentered="1"/>
  <pageMargins left="0" right="0" top="0.39370078740157483" bottom="0.39370078740157483" header="0.31496062992125984" footer="0.31496062992125984"/>
  <pageSetup paperSize="8"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E1449B1-216A-4ED7-B86F-4EB17A34C778}">
          <x14:formula1>
            <xm:f>Datos!$A$3:$A$14</xm:f>
          </x14:formula1>
          <xm:sqref>M196:M211 M22:M194</xm:sqref>
        </x14:dataValidation>
        <x14:dataValidation type="list" allowBlank="1" showInputMessage="1" showErrorMessage="1" xr:uid="{B3C1880D-DBFD-45A9-8C83-92402C82B404}">
          <x14:formula1>
            <xm:f>Datos!$F$4:$F$11</xm:f>
          </x14:formula1>
          <xm:sqref>F189 E208:F211 E22:F181</xm:sqref>
        </x14:dataValidation>
        <x14:dataValidation type="list" allowBlank="1" showInputMessage="1" showErrorMessage="1" xr:uid="{613F7101-55B0-4377-8293-3CC9125DBD63}">
          <x14:formula1>
            <xm:f>Datos!$L$3:$L$19</xm:f>
          </x14:formula1>
          <xm:sqref>D198:D211 D22:D195</xm:sqref>
        </x14:dataValidation>
        <x14:dataValidation type="list" allowBlank="1" showInputMessage="1" showErrorMessage="1" xr:uid="{143B2998-929E-47EC-8DCB-F2ABFDF42E7C}">
          <x14:formula1>
            <xm:f>Datos!$N$3:$N$6</xm:f>
          </x14:formula1>
          <xm:sqref>K185 K208:K211 K22:K183</xm:sqref>
        </x14:dataValidation>
        <x14:dataValidation type="list" allowBlank="1" showInputMessage="1" showErrorMessage="1" xr:uid="{650526EF-9C5D-468C-B3D8-609BB1E6069F}">
          <x14:formula1>
            <xm:f>Datos!$P$3:$P$14</xm:f>
          </x14:formula1>
          <xm:sqref>L201:L211 L22:L194</xm:sqref>
        </x14:dataValidation>
        <x14:dataValidation type="list" allowBlank="1" showInputMessage="1" showErrorMessage="1" xr:uid="{443FC9EF-7AC9-40A5-B7F0-F528F5AA33EA}">
          <x14:formula1>
            <xm:f>Datos!$D$3:$D$7</xm:f>
          </x14:formula1>
          <xm:sqref>I22:I211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A8A4-3CAB-4744-BC9D-E92500FA501C}">
  <dimension ref="A1:A7"/>
  <sheetViews>
    <sheetView workbookViewId="0">
      <selection activeCell="B22" sqref="B22"/>
    </sheetView>
  </sheetViews>
  <sheetFormatPr baseColWidth="10" defaultColWidth="11.44140625" defaultRowHeight="14.4" x14ac:dyDescent="0.3"/>
  <cols>
    <col min="1" max="1" width="22.33203125" bestFit="1" customWidth="1"/>
  </cols>
  <sheetData>
    <row r="1" spans="1:1" x14ac:dyDescent="0.3">
      <c r="A1" t="s">
        <v>104</v>
      </c>
    </row>
    <row r="2" spans="1:1" x14ac:dyDescent="0.3">
      <c r="A2" t="s">
        <v>105</v>
      </c>
    </row>
    <row r="3" spans="1:1" x14ac:dyDescent="0.3">
      <c r="A3" s="118" t="s">
        <v>106</v>
      </c>
    </row>
    <row r="4" spans="1:1" x14ac:dyDescent="0.3">
      <c r="A4" t="s">
        <v>107</v>
      </c>
    </row>
    <row r="5" spans="1:1" x14ac:dyDescent="0.3">
      <c r="A5" t="s">
        <v>108</v>
      </c>
    </row>
    <row r="6" spans="1:1" x14ac:dyDescent="0.3">
      <c r="A6" t="s">
        <v>109</v>
      </c>
    </row>
    <row r="7" spans="1:1" x14ac:dyDescent="0.3">
      <c r="A7"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E045-2CD6-4A84-980F-9473DB41D344}">
  <sheetPr filterMode="1"/>
  <dimension ref="A1:K47"/>
  <sheetViews>
    <sheetView workbookViewId="0">
      <selection activeCell="J1" sqref="J1:K1"/>
    </sheetView>
  </sheetViews>
  <sheetFormatPr baseColWidth="10" defaultColWidth="11.44140625" defaultRowHeight="14.4" x14ac:dyDescent="0.3"/>
  <cols>
    <col min="1" max="1" width="8.5546875" customWidth="1"/>
    <col min="2" max="2" width="6.6640625" hidden="1" customWidth="1"/>
    <col min="3" max="3" width="8.5546875" bestFit="1" customWidth="1"/>
    <col min="4" max="4" width="8.6640625" bestFit="1" customWidth="1"/>
    <col min="5" max="5" width="0" hidden="1" customWidth="1"/>
    <col min="6" max="6" width="6.33203125" customWidth="1"/>
    <col min="7" max="7" width="9.33203125" customWidth="1"/>
    <col min="8" max="8" width="8.6640625" hidden="1" customWidth="1"/>
    <col min="9" max="9" width="0" hidden="1" customWidth="1"/>
    <col min="10" max="10" width="27.88671875" bestFit="1" customWidth="1"/>
    <col min="11" max="11" width="7.6640625" customWidth="1"/>
  </cols>
  <sheetData>
    <row r="1" spans="1:11" s="111" customFormat="1" ht="27.6" x14ac:dyDescent="0.3">
      <c r="A1" s="64" t="s">
        <v>24</v>
      </c>
      <c r="B1" s="65" t="s">
        <v>111</v>
      </c>
      <c r="C1" s="66" t="s">
        <v>26</v>
      </c>
      <c r="D1" s="66" t="s">
        <v>1</v>
      </c>
      <c r="E1" s="65" t="s">
        <v>29</v>
      </c>
      <c r="F1" s="66" t="s">
        <v>0</v>
      </c>
      <c r="G1" s="66" t="s">
        <v>34</v>
      </c>
      <c r="H1" s="67" t="s">
        <v>35</v>
      </c>
      <c r="I1" s="108" t="s">
        <v>112</v>
      </c>
      <c r="J1" s="109" t="s">
        <v>113</v>
      </c>
      <c r="K1" s="110" t="s">
        <v>38</v>
      </c>
    </row>
    <row r="2" spans="1:11" ht="16.95" customHeight="1" thickBot="1" x14ac:dyDescent="0.35">
      <c r="A2" s="92" t="s">
        <v>114</v>
      </c>
      <c r="B2" s="58" t="s">
        <v>115</v>
      </c>
      <c r="C2" s="58" t="s">
        <v>116</v>
      </c>
      <c r="D2" s="58" t="s">
        <v>3</v>
      </c>
      <c r="E2" s="58" t="s">
        <v>117</v>
      </c>
      <c r="F2" s="58" t="s">
        <v>5</v>
      </c>
      <c r="G2" s="58" t="s">
        <v>13</v>
      </c>
      <c r="H2" s="93">
        <v>45802</v>
      </c>
      <c r="I2" s="58" t="s">
        <v>118</v>
      </c>
      <c r="J2" s="58" t="s">
        <v>119</v>
      </c>
      <c r="K2" s="63" t="s">
        <v>120</v>
      </c>
    </row>
    <row r="3" spans="1:11" ht="43.95" hidden="1" customHeight="1" x14ac:dyDescent="0.3">
      <c r="A3" s="77" t="s">
        <v>121</v>
      </c>
      <c r="B3" s="78" t="s">
        <v>115</v>
      </c>
      <c r="C3" s="78" t="s">
        <v>116</v>
      </c>
      <c r="D3" s="78" t="s">
        <v>3</v>
      </c>
      <c r="E3" s="78" t="s">
        <v>122</v>
      </c>
      <c r="F3" s="78" t="s">
        <v>5</v>
      </c>
      <c r="G3" s="78" t="s">
        <v>13</v>
      </c>
      <c r="H3" s="79">
        <v>45810</v>
      </c>
      <c r="I3" s="80" t="s">
        <v>123</v>
      </c>
    </row>
    <row r="4" spans="1:11" ht="57" hidden="1" x14ac:dyDescent="0.3">
      <c r="A4" s="46" t="s">
        <v>124</v>
      </c>
      <c r="B4" s="48" t="s">
        <v>115</v>
      </c>
      <c r="C4" s="48" t="s">
        <v>116</v>
      </c>
      <c r="D4" s="48" t="s">
        <v>3</v>
      </c>
      <c r="E4" s="48" t="s">
        <v>125</v>
      </c>
      <c r="F4" s="48" t="s">
        <v>5</v>
      </c>
      <c r="G4" s="49" t="s">
        <v>13</v>
      </c>
      <c r="H4" s="50">
        <v>45808</v>
      </c>
      <c r="I4" s="62" t="s">
        <v>126</v>
      </c>
    </row>
    <row r="5" spans="1:11" ht="39.6" hidden="1" customHeight="1" x14ac:dyDescent="0.3">
      <c r="A5" s="68" t="s">
        <v>127</v>
      </c>
      <c r="B5" s="69" t="s">
        <v>128</v>
      </c>
      <c r="C5" s="69" t="s">
        <v>129</v>
      </c>
      <c r="D5" s="69" t="s">
        <v>130</v>
      </c>
      <c r="E5" s="69" t="s">
        <v>131</v>
      </c>
      <c r="F5" s="69" t="s">
        <v>5</v>
      </c>
      <c r="G5" s="70" t="s">
        <v>7</v>
      </c>
      <c r="H5" s="71">
        <v>45838</v>
      </c>
      <c r="I5" s="72" t="s">
        <v>132</v>
      </c>
    </row>
    <row r="6" spans="1:11" ht="16.95" customHeight="1" x14ac:dyDescent="0.3">
      <c r="A6" s="94" t="s">
        <v>133</v>
      </c>
      <c r="B6" s="95" t="s">
        <v>128</v>
      </c>
      <c r="C6" s="95" t="s">
        <v>129</v>
      </c>
      <c r="D6" s="95" t="s">
        <v>3</v>
      </c>
      <c r="E6" s="95" t="s">
        <v>134</v>
      </c>
      <c r="F6" s="95" t="s">
        <v>5</v>
      </c>
      <c r="G6" s="96" t="s">
        <v>23</v>
      </c>
      <c r="H6" s="97">
        <v>45806</v>
      </c>
      <c r="I6" s="95" t="s">
        <v>135</v>
      </c>
      <c r="J6" s="95" t="s">
        <v>135</v>
      </c>
      <c r="K6" s="98" t="s">
        <v>120</v>
      </c>
    </row>
    <row r="7" spans="1:11" ht="16.95" customHeight="1" x14ac:dyDescent="0.3">
      <c r="A7" s="46" t="s">
        <v>136</v>
      </c>
      <c r="B7" s="48" t="s">
        <v>137</v>
      </c>
      <c r="C7" s="48" t="s">
        <v>129</v>
      </c>
      <c r="D7" s="48" t="s">
        <v>3</v>
      </c>
      <c r="E7" s="48" t="s">
        <v>138</v>
      </c>
      <c r="F7" s="48" t="s">
        <v>5</v>
      </c>
      <c r="G7" s="49" t="s">
        <v>4</v>
      </c>
      <c r="H7" s="47">
        <v>45811</v>
      </c>
      <c r="I7" s="48" t="s">
        <v>139</v>
      </c>
      <c r="J7" s="48" t="s">
        <v>140</v>
      </c>
      <c r="K7" s="62" t="s">
        <v>141</v>
      </c>
    </row>
    <row r="8" spans="1:11" ht="16.95" customHeight="1" thickBot="1" x14ac:dyDescent="0.35">
      <c r="A8" s="92" t="s">
        <v>142</v>
      </c>
      <c r="B8" s="58" t="s">
        <v>128</v>
      </c>
      <c r="C8" s="58" t="s">
        <v>50</v>
      </c>
      <c r="D8" s="58" t="s">
        <v>3</v>
      </c>
      <c r="E8" s="58" t="s">
        <v>143</v>
      </c>
      <c r="F8" s="58" t="s">
        <v>5</v>
      </c>
      <c r="G8" s="60" t="s">
        <v>144</v>
      </c>
      <c r="H8" s="93">
        <v>45808</v>
      </c>
      <c r="I8" s="58" t="s">
        <v>145</v>
      </c>
      <c r="J8" s="58" t="s">
        <v>146</v>
      </c>
      <c r="K8" s="63" t="s">
        <v>120</v>
      </c>
    </row>
    <row r="9" spans="1:11" ht="36.6" hidden="1" customHeight="1" x14ac:dyDescent="0.3">
      <c r="A9" s="81" t="s">
        <v>147</v>
      </c>
      <c r="B9" s="61" t="s">
        <v>128</v>
      </c>
      <c r="C9" s="61" t="s">
        <v>50</v>
      </c>
      <c r="D9" s="61" t="s">
        <v>3</v>
      </c>
      <c r="E9" s="61" t="s">
        <v>148</v>
      </c>
      <c r="F9" s="61" t="s">
        <v>5</v>
      </c>
      <c r="G9" s="82" t="s">
        <v>144</v>
      </c>
      <c r="H9" s="83">
        <v>45808</v>
      </c>
      <c r="I9" s="84" t="s">
        <v>149</v>
      </c>
    </row>
    <row r="10" spans="1:11" ht="16.95" customHeight="1" thickBot="1" x14ac:dyDescent="0.35">
      <c r="A10" s="99" t="s">
        <v>150</v>
      </c>
      <c r="B10" s="100" t="s">
        <v>128</v>
      </c>
      <c r="C10" s="100" t="s">
        <v>41</v>
      </c>
      <c r="D10" s="100" t="s">
        <v>3</v>
      </c>
      <c r="E10" s="100" t="s">
        <v>151</v>
      </c>
      <c r="F10" s="100" t="s">
        <v>5</v>
      </c>
      <c r="G10" s="100" t="s">
        <v>13</v>
      </c>
      <c r="H10" s="101">
        <v>45807</v>
      </c>
      <c r="I10" s="100" t="s">
        <v>152</v>
      </c>
      <c r="J10" s="100" t="s">
        <v>146</v>
      </c>
      <c r="K10" s="102" t="s">
        <v>120</v>
      </c>
    </row>
    <row r="11" spans="1:11" ht="57" hidden="1" x14ac:dyDescent="0.3">
      <c r="A11" s="77" t="s">
        <v>153</v>
      </c>
      <c r="B11" s="78" t="s">
        <v>128</v>
      </c>
      <c r="C11" s="78" t="s">
        <v>129</v>
      </c>
      <c r="D11" s="78" t="s">
        <v>3</v>
      </c>
      <c r="E11" s="78" t="s">
        <v>154</v>
      </c>
      <c r="F11" s="78" t="s">
        <v>5</v>
      </c>
      <c r="G11" s="85" t="s">
        <v>13</v>
      </c>
      <c r="H11" s="86">
        <v>45803</v>
      </c>
      <c r="I11" s="80" t="s">
        <v>155</v>
      </c>
    </row>
    <row r="12" spans="1:11" ht="45.6" hidden="1" x14ac:dyDescent="0.3">
      <c r="A12" s="68" t="s">
        <v>156</v>
      </c>
      <c r="B12" s="69" t="s">
        <v>128</v>
      </c>
      <c r="C12" s="69" t="s">
        <v>129</v>
      </c>
      <c r="D12" s="69" t="s">
        <v>3</v>
      </c>
      <c r="E12" s="69" t="s">
        <v>157</v>
      </c>
      <c r="F12" s="69" t="s">
        <v>5</v>
      </c>
      <c r="G12" s="69" t="s">
        <v>144</v>
      </c>
      <c r="H12" s="74">
        <v>45796</v>
      </c>
      <c r="I12" s="72" t="s">
        <v>158</v>
      </c>
    </row>
    <row r="13" spans="1:11" ht="16.95" customHeight="1" thickBot="1" x14ac:dyDescent="0.35">
      <c r="A13" s="99" t="s">
        <v>159</v>
      </c>
      <c r="B13" s="100" t="s">
        <v>128</v>
      </c>
      <c r="C13" s="100" t="s">
        <v>129</v>
      </c>
      <c r="D13" s="100" t="s">
        <v>3</v>
      </c>
      <c r="E13" s="100" t="s">
        <v>160</v>
      </c>
      <c r="F13" s="100" t="s">
        <v>11</v>
      </c>
      <c r="G13" s="100" t="s">
        <v>13</v>
      </c>
      <c r="H13" s="103">
        <v>45810</v>
      </c>
      <c r="I13" s="100" t="s">
        <v>161</v>
      </c>
      <c r="J13" s="100" t="s">
        <v>146</v>
      </c>
      <c r="K13" s="102" t="s">
        <v>120</v>
      </c>
    </row>
    <row r="14" spans="1:11" ht="91.2" hidden="1" x14ac:dyDescent="0.3">
      <c r="A14" s="77" t="s">
        <v>162</v>
      </c>
      <c r="B14" s="78" t="s">
        <v>128</v>
      </c>
      <c r="C14" s="78" t="s">
        <v>67</v>
      </c>
      <c r="D14" s="78" t="s">
        <v>3</v>
      </c>
      <c r="E14" s="78" t="s">
        <v>163</v>
      </c>
      <c r="F14" s="78" t="s">
        <v>5</v>
      </c>
      <c r="G14" s="85" t="s">
        <v>13</v>
      </c>
      <c r="H14" s="87">
        <v>45810</v>
      </c>
      <c r="I14" s="80" t="s">
        <v>164</v>
      </c>
    </row>
    <row r="15" spans="1:11" ht="68.400000000000006" hidden="1" x14ac:dyDescent="0.3">
      <c r="A15" s="46" t="s">
        <v>165</v>
      </c>
      <c r="B15" s="48" t="s">
        <v>137</v>
      </c>
      <c r="C15" s="48" t="s">
        <v>50</v>
      </c>
      <c r="D15" s="48" t="s">
        <v>3</v>
      </c>
      <c r="E15" s="48" t="s">
        <v>166</v>
      </c>
      <c r="F15" s="48" t="s">
        <v>8</v>
      </c>
      <c r="G15" s="49" t="s">
        <v>144</v>
      </c>
      <c r="H15" s="53">
        <v>45810</v>
      </c>
      <c r="I15" s="62" t="s">
        <v>167</v>
      </c>
    </row>
    <row r="16" spans="1:11" ht="63" hidden="1" customHeight="1" x14ac:dyDescent="0.3">
      <c r="A16" s="46" t="s">
        <v>168</v>
      </c>
      <c r="B16" s="48" t="s">
        <v>128</v>
      </c>
      <c r="C16" s="48" t="s">
        <v>129</v>
      </c>
      <c r="D16" s="48" t="s">
        <v>169</v>
      </c>
      <c r="E16" s="48" t="s">
        <v>170</v>
      </c>
      <c r="F16" s="48" t="s">
        <v>5</v>
      </c>
      <c r="G16" s="49" t="s">
        <v>23</v>
      </c>
      <c r="H16" s="53">
        <v>45810</v>
      </c>
      <c r="I16" s="62" t="s">
        <v>171</v>
      </c>
    </row>
    <row r="17" spans="1:11" ht="91.2" hidden="1" x14ac:dyDescent="0.3">
      <c r="A17" s="68" t="s">
        <v>172</v>
      </c>
      <c r="B17" s="69" t="s">
        <v>128</v>
      </c>
      <c r="C17" s="69" t="s">
        <v>129</v>
      </c>
      <c r="D17" s="69" t="s">
        <v>3</v>
      </c>
      <c r="E17" s="69" t="s">
        <v>173</v>
      </c>
      <c r="F17" s="69" t="s">
        <v>5</v>
      </c>
      <c r="G17" s="69" t="s">
        <v>13</v>
      </c>
      <c r="H17" s="75">
        <v>45810</v>
      </c>
      <c r="I17" s="72" t="s">
        <v>174</v>
      </c>
    </row>
    <row r="18" spans="1:11" ht="16.95" customHeight="1" thickBot="1" x14ac:dyDescent="0.35">
      <c r="A18" s="99" t="s">
        <v>175</v>
      </c>
      <c r="B18" s="100" t="s">
        <v>176</v>
      </c>
      <c r="C18" s="100" t="s">
        <v>129</v>
      </c>
      <c r="D18" s="100" t="s">
        <v>130</v>
      </c>
      <c r="E18" s="100" t="s">
        <v>177</v>
      </c>
      <c r="F18" s="100" t="s">
        <v>5</v>
      </c>
      <c r="G18" s="104" t="s">
        <v>4</v>
      </c>
      <c r="H18" s="103">
        <v>45818</v>
      </c>
      <c r="I18" s="100" t="s">
        <v>178</v>
      </c>
      <c r="J18" s="100" t="s">
        <v>179</v>
      </c>
      <c r="K18" s="102" t="s">
        <v>141</v>
      </c>
    </row>
    <row r="19" spans="1:11" ht="45.6" hidden="1" x14ac:dyDescent="0.3">
      <c r="A19" s="77" t="s">
        <v>180</v>
      </c>
      <c r="B19" s="78" t="s">
        <v>128</v>
      </c>
      <c r="C19" s="78" t="s">
        <v>50</v>
      </c>
      <c r="D19" s="78" t="s">
        <v>181</v>
      </c>
      <c r="E19" s="78" t="s">
        <v>182</v>
      </c>
      <c r="F19" s="78" t="s">
        <v>8</v>
      </c>
      <c r="G19" s="85" t="s">
        <v>7</v>
      </c>
      <c r="H19" s="79">
        <v>45811</v>
      </c>
      <c r="I19" s="80" t="s">
        <v>183</v>
      </c>
    </row>
    <row r="20" spans="1:11" ht="58.95" hidden="1" customHeight="1" x14ac:dyDescent="0.3">
      <c r="A20" s="46" t="s">
        <v>184</v>
      </c>
      <c r="B20" s="48" t="s">
        <v>137</v>
      </c>
      <c r="C20" s="48" t="s">
        <v>129</v>
      </c>
      <c r="D20" s="48" t="s">
        <v>3</v>
      </c>
      <c r="E20" s="48" t="s">
        <v>185</v>
      </c>
      <c r="F20" s="48" t="s">
        <v>5</v>
      </c>
      <c r="G20" s="49" t="s">
        <v>18</v>
      </c>
      <c r="H20" s="53">
        <v>45810</v>
      </c>
      <c r="I20" s="62" t="s">
        <v>186</v>
      </c>
    </row>
    <row r="21" spans="1:11" ht="68.400000000000006" hidden="1" x14ac:dyDescent="0.3">
      <c r="A21" s="46" t="s">
        <v>187</v>
      </c>
      <c r="B21" s="51" t="s">
        <v>188</v>
      </c>
      <c r="C21" s="48" t="s">
        <v>50</v>
      </c>
      <c r="D21" s="48" t="s">
        <v>3</v>
      </c>
      <c r="E21" s="48" t="s">
        <v>189</v>
      </c>
      <c r="F21" s="49" t="s">
        <v>5</v>
      </c>
      <c r="G21" s="49" t="s">
        <v>144</v>
      </c>
      <c r="H21" s="54">
        <v>45796</v>
      </c>
      <c r="I21" s="62" t="s">
        <v>190</v>
      </c>
    </row>
    <row r="22" spans="1:11" ht="47.4" hidden="1" customHeight="1" x14ac:dyDescent="0.3">
      <c r="A22" s="46" t="s">
        <v>191</v>
      </c>
      <c r="B22" s="49" t="s">
        <v>188</v>
      </c>
      <c r="C22" s="48" t="s">
        <v>116</v>
      </c>
      <c r="D22" s="49" t="s">
        <v>169</v>
      </c>
      <c r="E22" s="48" t="s">
        <v>192</v>
      </c>
      <c r="F22" s="49" t="s">
        <v>5</v>
      </c>
      <c r="G22" s="49" t="s">
        <v>7</v>
      </c>
      <c r="H22" s="53">
        <v>45930</v>
      </c>
      <c r="I22" s="62" t="s">
        <v>193</v>
      </c>
    </row>
    <row r="23" spans="1:11" ht="45.6" hidden="1" x14ac:dyDescent="0.3">
      <c r="A23" s="55" t="s">
        <v>194</v>
      </c>
      <c r="B23" s="48" t="s">
        <v>195</v>
      </c>
      <c r="C23" s="48" t="s">
        <v>116</v>
      </c>
      <c r="D23" s="49" t="s">
        <v>169</v>
      </c>
      <c r="E23" s="48" t="s">
        <v>196</v>
      </c>
      <c r="F23" s="48" t="s">
        <v>5</v>
      </c>
      <c r="G23" s="48" t="s">
        <v>4</v>
      </c>
      <c r="H23" s="53">
        <v>45930</v>
      </c>
      <c r="I23" s="62" t="s">
        <v>197</v>
      </c>
    </row>
    <row r="24" spans="1:11" ht="45.6" hidden="1" x14ac:dyDescent="0.3">
      <c r="A24" s="46" t="s">
        <v>198</v>
      </c>
      <c r="B24" s="49" t="s">
        <v>195</v>
      </c>
      <c r="C24" s="48" t="s">
        <v>50</v>
      </c>
      <c r="D24" s="49" t="s">
        <v>181</v>
      </c>
      <c r="E24" s="56" t="s">
        <v>199</v>
      </c>
      <c r="F24" s="49" t="s">
        <v>5</v>
      </c>
      <c r="G24" s="49" t="s">
        <v>13</v>
      </c>
      <c r="H24" s="53">
        <v>45806</v>
      </c>
      <c r="I24" s="62" t="s">
        <v>200</v>
      </c>
    </row>
    <row r="25" spans="1:11" ht="57" hidden="1" x14ac:dyDescent="0.3">
      <c r="A25" s="46" t="s">
        <v>201</v>
      </c>
      <c r="B25" s="49" t="s">
        <v>195</v>
      </c>
      <c r="C25" s="48" t="s">
        <v>50</v>
      </c>
      <c r="D25" s="48" t="s">
        <v>130</v>
      </c>
      <c r="E25" s="56" t="s">
        <v>202</v>
      </c>
      <c r="F25" s="49" t="s">
        <v>5</v>
      </c>
      <c r="G25" s="49" t="s">
        <v>7</v>
      </c>
      <c r="H25" s="53">
        <v>45930</v>
      </c>
      <c r="I25" s="62" t="s">
        <v>203</v>
      </c>
    </row>
    <row r="26" spans="1:11" ht="13.2" hidden="1" customHeight="1" x14ac:dyDescent="0.3">
      <c r="A26" s="46" t="s">
        <v>204</v>
      </c>
      <c r="B26" s="49" t="s">
        <v>195</v>
      </c>
      <c r="C26" s="48" t="s">
        <v>50</v>
      </c>
      <c r="D26" s="48" t="s">
        <v>130</v>
      </c>
      <c r="E26" s="48" t="s">
        <v>205</v>
      </c>
      <c r="F26" s="48" t="s">
        <v>8</v>
      </c>
      <c r="G26" s="48" t="s">
        <v>13</v>
      </c>
      <c r="H26" s="47">
        <v>45972</v>
      </c>
      <c r="I26" s="62" t="s">
        <v>13</v>
      </c>
    </row>
    <row r="27" spans="1:11" ht="58.2" hidden="1" customHeight="1" x14ac:dyDescent="0.3">
      <c r="A27" s="68" t="s">
        <v>206</v>
      </c>
      <c r="B27" s="69" t="s">
        <v>207</v>
      </c>
      <c r="C27" s="69" t="s">
        <v>50</v>
      </c>
      <c r="D27" s="69" t="s">
        <v>181</v>
      </c>
      <c r="E27" s="69" t="s">
        <v>208</v>
      </c>
      <c r="F27" s="69" t="s">
        <v>5</v>
      </c>
      <c r="G27" s="70" t="s">
        <v>4</v>
      </c>
      <c r="H27" s="75">
        <v>45930</v>
      </c>
      <c r="I27" s="72" t="s">
        <v>209</v>
      </c>
    </row>
    <row r="28" spans="1:11" ht="16.95" customHeight="1" thickBot="1" x14ac:dyDescent="0.35">
      <c r="A28" s="105" t="s">
        <v>210</v>
      </c>
      <c r="B28" s="100" t="s">
        <v>207</v>
      </c>
      <c r="C28" s="100" t="s">
        <v>129</v>
      </c>
      <c r="D28" s="100" t="s">
        <v>130</v>
      </c>
      <c r="E28" s="100" t="s">
        <v>211</v>
      </c>
      <c r="F28" s="100" t="s">
        <v>8</v>
      </c>
      <c r="G28" s="104" t="s">
        <v>13</v>
      </c>
      <c r="H28" s="103">
        <v>45810</v>
      </c>
      <c r="I28" s="100" t="s">
        <v>212</v>
      </c>
      <c r="J28" s="100" t="s">
        <v>213</v>
      </c>
      <c r="K28" s="102" t="s">
        <v>120</v>
      </c>
    </row>
    <row r="29" spans="1:11" ht="39" hidden="1" customHeight="1" x14ac:dyDescent="0.3">
      <c r="A29" s="88" t="s">
        <v>214</v>
      </c>
      <c r="B29" s="85" t="s">
        <v>128</v>
      </c>
      <c r="C29" s="78" t="s">
        <v>50</v>
      </c>
      <c r="D29" s="85" t="s">
        <v>181</v>
      </c>
      <c r="E29" s="78" t="s">
        <v>215</v>
      </c>
      <c r="F29" s="85" t="s">
        <v>5</v>
      </c>
      <c r="G29" s="85" t="s">
        <v>144</v>
      </c>
      <c r="H29" s="86">
        <v>45789</v>
      </c>
      <c r="I29" s="80" t="s">
        <v>216</v>
      </c>
    </row>
    <row r="30" spans="1:11" ht="43.2" hidden="1" customHeight="1" x14ac:dyDescent="0.3">
      <c r="A30" s="55" t="s">
        <v>217</v>
      </c>
      <c r="B30" s="48" t="s">
        <v>218</v>
      </c>
      <c r="C30" s="48" t="s">
        <v>129</v>
      </c>
      <c r="D30" s="48" t="s">
        <v>3</v>
      </c>
      <c r="E30" s="48" t="s">
        <v>219</v>
      </c>
      <c r="F30" s="48" t="s">
        <v>5</v>
      </c>
      <c r="G30" s="48" t="s">
        <v>144</v>
      </c>
      <c r="H30" s="50">
        <v>45790</v>
      </c>
      <c r="I30" s="62" t="s">
        <v>220</v>
      </c>
    </row>
    <row r="31" spans="1:11" ht="34.200000000000003" hidden="1" x14ac:dyDescent="0.3">
      <c r="A31" s="76" t="s">
        <v>221</v>
      </c>
      <c r="B31" s="69" t="s">
        <v>218</v>
      </c>
      <c r="C31" s="69" t="s">
        <v>50</v>
      </c>
      <c r="D31" s="69" t="s">
        <v>3</v>
      </c>
      <c r="E31" s="69" t="s">
        <v>222</v>
      </c>
      <c r="F31" s="69" t="s">
        <v>8</v>
      </c>
      <c r="G31" s="69" t="s">
        <v>144</v>
      </c>
      <c r="H31" s="71">
        <v>45810</v>
      </c>
      <c r="I31" s="72" t="s">
        <v>220</v>
      </c>
    </row>
    <row r="32" spans="1:11" ht="16.95" customHeight="1" thickBot="1" x14ac:dyDescent="0.35">
      <c r="A32" s="105" t="s">
        <v>223</v>
      </c>
      <c r="B32" s="100" t="s">
        <v>224</v>
      </c>
      <c r="C32" s="100" t="s">
        <v>129</v>
      </c>
      <c r="D32" s="100" t="s">
        <v>3</v>
      </c>
      <c r="E32" s="100" t="s">
        <v>225</v>
      </c>
      <c r="F32" s="100" t="s">
        <v>8</v>
      </c>
      <c r="G32" s="104" t="s">
        <v>16</v>
      </c>
      <c r="H32" s="101">
        <v>45838</v>
      </c>
      <c r="I32" s="100" t="s">
        <v>226</v>
      </c>
      <c r="J32" s="100" t="s">
        <v>227</v>
      </c>
      <c r="K32" s="102" t="s">
        <v>120</v>
      </c>
    </row>
    <row r="33" spans="1:11" ht="45" hidden="1" customHeight="1" x14ac:dyDescent="0.3">
      <c r="A33" s="89" t="s">
        <v>228</v>
      </c>
      <c r="B33" s="61" t="s">
        <v>224</v>
      </c>
      <c r="C33" s="61" t="s">
        <v>129</v>
      </c>
      <c r="D33" s="61" t="s">
        <v>3</v>
      </c>
      <c r="E33" s="61" t="s">
        <v>229</v>
      </c>
      <c r="F33" s="61" t="s">
        <v>8</v>
      </c>
      <c r="G33" s="61" t="s">
        <v>13</v>
      </c>
      <c r="H33" s="90">
        <v>45807</v>
      </c>
      <c r="I33" s="84" t="s">
        <v>230</v>
      </c>
    </row>
    <row r="34" spans="1:11" ht="16.95" customHeight="1" x14ac:dyDescent="0.3">
      <c r="A34" s="106" t="s">
        <v>231</v>
      </c>
      <c r="B34" s="95" t="s">
        <v>224</v>
      </c>
      <c r="C34" s="95" t="s">
        <v>129</v>
      </c>
      <c r="D34" s="95" t="s">
        <v>3</v>
      </c>
      <c r="E34" s="95" t="s">
        <v>232</v>
      </c>
      <c r="F34" s="95" t="s">
        <v>8</v>
      </c>
      <c r="G34" s="95" t="s">
        <v>13</v>
      </c>
      <c r="H34" s="107">
        <v>45807</v>
      </c>
      <c r="I34" s="95" t="s">
        <v>226</v>
      </c>
      <c r="J34" s="95" t="s">
        <v>227</v>
      </c>
      <c r="K34" s="98" t="s">
        <v>120</v>
      </c>
    </row>
    <row r="35" spans="1:11" ht="16.95" customHeight="1" x14ac:dyDescent="0.3">
      <c r="A35" s="55" t="s">
        <v>233</v>
      </c>
      <c r="B35" s="48" t="s">
        <v>224</v>
      </c>
      <c r="C35" s="48" t="s">
        <v>129</v>
      </c>
      <c r="D35" s="48" t="s">
        <v>3</v>
      </c>
      <c r="E35" s="48" t="s">
        <v>234</v>
      </c>
      <c r="F35" s="48" t="s">
        <v>8</v>
      </c>
      <c r="G35" s="48" t="s">
        <v>4</v>
      </c>
      <c r="H35" s="53">
        <v>45930</v>
      </c>
      <c r="I35" s="48" t="s">
        <v>235</v>
      </c>
      <c r="J35" s="48" t="s">
        <v>236</v>
      </c>
      <c r="K35" s="62" t="s">
        <v>237</v>
      </c>
    </row>
    <row r="36" spans="1:11" ht="16.95" customHeight="1" x14ac:dyDescent="0.3">
      <c r="A36" s="55" t="s">
        <v>238</v>
      </c>
      <c r="B36" s="48" t="s">
        <v>224</v>
      </c>
      <c r="C36" s="48" t="s">
        <v>129</v>
      </c>
      <c r="D36" s="48" t="s">
        <v>3</v>
      </c>
      <c r="E36" s="48" t="s">
        <v>239</v>
      </c>
      <c r="F36" s="48" t="s">
        <v>8</v>
      </c>
      <c r="G36" s="48" t="s">
        <v>23</v>
      </c>
      <c r="H36" s="54">
        <v>45805</v>
      </c>
      <c r="I36" s="48" t="s">
        <v>240</v>
      </c>
      <c r="J36" s="48" t="s">
        <v>227</v>
      </c>
      <c r="K36" s="62" t="s">
        <v>120</v>
      </c>
    </row>
    <row r="37" spans="1:11" ht="16.95" customHeight="1" thickBot="1" x14ac:dyDescent="0.35">
      <c r="A37" s="57" t="s">
        <v>241</v>
      </c>
      <c r="B37" s="58" t="s">
        <v>224</v>
      </c>
      <c r="C37" s="58" t="s">
        <v>129</v>
      </c>
      <c r="D37" s="58" t="s">
        <v>3</v>
      </c>
      <c r="E37" s="58" t="s">
        <v>242</v>
      </c>
      <c r="F37" s="58" t="s">
        <v>8</v>
      </c>
      <c r="G37" s="58" t="s">
        <v>4</v>
      </c>
      <c r="H37" s="59">
        <v>45810</v>
      </c>
      <c r="I37" s="58" t="s">
        <v>243</v>
      </c>
      <c r="J37" s="58" t="s">
        <v>243</v>
      </c>
      <c r="K37" s="63" t="s">
        <v>141</v>
      </c>
    </row>
    <row r="38" spans="1:11" ht="49.95" hidden="1" customHeight="1" x14ac:dyDescent="0.3">
      <c r="A38" s="88" t="s">
        <v>244</v>
      </c>
      <c r="B38" s="78" t="s">
        <v>188</v>
      </c>
      <c r="C38" s="78" t="s">
        <v>245</v>
      </c>
      <c r="D38" s="78" t="s">
        <v>169</v>
      </c>
      <c r="E38" s="78" t="s">
        <v>246</v>
      </c>
      <c r="F38" s="78" t="s">
        <v>8</v>
      </c>
      <c r="G38" s="78" t="s">
        <v>144</v>
      </c>
      <c r="H38" s="87">
        <v>45930</v>
      </c>
      <c r="I38" s="80" t="s">
        <v>247</v>
      </c>
    </row>
    <row r="39" spans="1:11" ht="22.8" hidden="1" x14ac:dyDescent="0.3">
      <c r="A39" s="55" t="s">
        <v>248</v>
      </c>
      <c r="B39" s="48" t="s">
        <v>207</v>
      </c>
      <c r="C39" s="48" t="s">
        <v>129</v>
      </c>
      <c r="D39" s="48" t="s">
        <v>130</v>
      </c>
      <c r="E39" s="48" t="s">
        <v>249</v>
      </c>
      <c r="F39" s="48" t="s">
        <v>5</v>
      </c>
      <c r="G39" s="48" t="s">
        <v>144</v>
      </c>
      <c r="H39" s="54">
        <v>45807</v>
      </c>
      <c r="I39" s="62" t="s">
        <v>247</v>
      </c>
    </row>
    <row r="40" spans="1:11" ht="28.95" hidden="1" customHeight="1" x14ac:dyDescent="0.3">
      <c r="A40" s="76" t="s">
        <v>250</v>
      </c>
      <c r="B40" s="69" t="s">
        <v>207</v>
      </c>
      <c r="C40" s="69" t="s">
        <v>67</v>
      </c>
      <c r="D40" s="69" t="s">
        <v>181</v>
      </c>
      <c r="E40" s="69" t="s">
        <v>251</v>
      </c>
      <c r="F40" s="69" t="s">
        <v>5</v>
      </c>
      <c r="G40" s="69" t="s">
        <v>13</v>
      </c>
      <c r="H40" s="73">
        <v>45799</v>
      </c>
      <c r="I40" s="72" t="s">
        <v>252</v>
      </c>
    </row>
    <row r="41" spans="1:11" ht="16.95" customHeight="1" thickBot="1" x14ac:dyDescent="0.35">
      <c r="A41" s="105" t="s">
        <v>253</v>
      </c>
      <c r="B41" s="100" t="s">
        <v>254</v>
      </c>
      <c r="C41" s="100" t="s">
        <v>129</v>
      </c>
      <c r="D41" s="100" t="s">
        <v>3</v>
      </c>
      <c r="E41" s="100" t="s">
        <v>255</v>
      </c>
      <c r="F41" s="100" t="s">
        <v>5</v>
      </c>
      <c r="G41" s="100" t="s">
        <v>13</v>
      </c>
      <c r="H41" s="103">
        <v>45930</v>
      </c>
      <c r="I41" s="100" t="s">
        <v>226</v>
      </c>
      <c r="J41" s="100" t="s">
        <v>256</v>
      </c>
      <c r="K41" s="102" t="s">
        <v>141</v>
      </c>
    </row>
    <row r="42" spans="1:11" ht="34.200000000000003" hidden="1" x14ac:dyDescent="0.3">
      <c r="A42" s="88" t="s">
        <v>257</v>
      </c>
      <c r="B42" s="78" t="s">
        <v>188</v>
      </c>
      <c r="C42" s="78" t="s">
        <v>67</v>
      </c>
      <c r="D42" s="78" t="s">
        <v>3</v>
      </c>
      <c r="E42" s="78" t="s">
        <v>258</v>
      </c>
      <c r="F42" s="78" t="s">
        <v>5</v>
      </c>
      <c r="G42" s="78" t="s">
        <v>16</v>
      </c>
      <c r="H42" s="91">
        <v>45807</v>
      </c>
      <c r="I42" s="80" t="s">
        <v>16</v>
      </c>
    </row>
    <row r="43" spans="1:11" ht="34.200000000000003" hidden="1" x14ac:dyDescent="0.3">
      <c r="A43" s="76" t="s">
        <v>259</v>
      </c>
      <c r="B43" s="69" t="s">
        <v>188</v>
      </c>
      <c r="C43" s="69" t="s">
        <v>67</v>
      </c>
      <c r="D43" s="69" t="s">
        <v>245</v>
      </c>
      <c r="E43" s="69" t="s">
        <v>260</v>
      </c>
      <c r="F43" s="69" t="s">
        <v>5</v>
      </c>
      <c r="G43" s="69" t="s">
        <v>144</v>
      </c>
      <c r="H43" s="73">
        <v>45799</v>
      </c>
      <c r="I43" s="72" t="s">
        <v>247</v>
      </c>
    </row>
    <row r="44" spans="1:11" ht="16.95" customHeight="1" thickBot="1" x14ac:dyDescent="0.35">
      <c r="A44" s="105" t="s">
        <v>261</v>
      </c>
      <c r="B44" s="100" t="s">
        <v>262</v>
      </c>
      <c r="C44" s="100" t="s">
        <v>263</v>
      </c>
      <c r="D44" s="100" t="s">
        <v>3</v>
      </c>
      <c r="E44" s="100" t="s">
        <v>264</v>
      </c>
      <c r="F44" s="100" t="s">
        <v>5</v>
      </c>
      <c r="G44" s="100" t="s">
        <v>16</v>
      </c>
      <c r="H44" s="101">
        <v>45812</v>
      </c>
      <c r="I44" s="100" t="s">
        <v>265</v>
      </c>
      <c r="J44" s="100" t="s">
        <v>236</v>
      </c>
      <c r="K44" s="102" t="s">
        <v>237</v>
      </c>
    </row>
    <row r="45" spans="1:11" ht="45.6" hidden="1" x14ac:dyDescent="0.3">
      <c r="A45" s="88" t="s">
        <v>266</v>
      </c>
      <c r="B45" s="78" t="s">
        <v>262</v>
      </c>
      <c r="C45" s="78" t="s">
        <v>263</v>
      </c>
      <c r="D45" s="78" t="s">
        <v>3</v>
      </c>
      <c r="E45" s="78" t="s">
        <v>267</v>
      </c>
      <c r="F45" s="78" t="s">
        <v>5</v>
      </c>
      <c r="G45" s="78" t="s">
        <v>13</v>
      </c>
      <c r="H45" s="91">
        <v>45805</v>
      </c>
      <c r="I45" s="80" t="s">
        <v>268</v>
      </c>
    </row>
    <row r="46" spans="1:11" ht="38.4" hidden="1" customHeight="1" x14ac:dyDescent="0.3">
      <c r="A46" s="55" t="s">
        <v>269</v>
      </c>
      <c r="B46" s="48" t="s">
        <v>262</v>
      </c>
      <c r="C46" s="48" t="s">
        <v>67</v>
      </c>
      <c r="D46" s="48" t="s">
        <v>3</v>
      </c>
      <c r="E46" s="48" t="s">
        <v>270</v>
      </c>
      <c r="F46" s="48" t="s">
        <v>5</v>
      </c>
      <c r="G46" s="48" t="s">
        <v>13</v>
      </c>
      <c r="H46" s="53">
        <v>45930</v>
      </c>
      <c r="I46" s="62" t="s">
        <v>271</v>
      </c>
    </row>
    <row r="47" spans="1:11" ht="34.950000000000003" hidden="1" customHeight="1" thickBot="1" x14ac:dyDescent="0.35">
      <c r="A47" s="57" t="s">
        <v>272</v>
      </c>
      <c r="B47" s="58" t="s">
        <v>273</v>
      </c>
      <c r="C47" s="58" t="s">
        <v>67</v>
      </c>
      <c r="D47" s="58" t="s">
        <v>130</v>
      </c>
      <c r="E47" s="58" t="s">
        <v>274</v>
      </c>
      <c r="F47" s="58" t="s">
        <v>5</v>
      </c>
      <c r="G47" s="58" t="s">
        <v>13</v>
      </c>
      <c r="H47" s="59">
        <v>45898</v>
      </c>
      <c r="I47" s="63" t="s">
        <v>271</v>
      </c>
    </row>
  </sheetData>
  <autoFilter ref="A1:K47" xr:uid="{63CAE045-2CD6-4A84-980F-9473DB41D344}">
    <filterColumn colId="10">
      <customFilters>
        <customFilter operator="notEqual" val=" "/>
      </customFilters>
    </filterColumn>
  </autoFilter>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D37AF783-6232-49D6-93A0-80440827FC44}">
          <x14:formula1>
            <xm:f>Datos!$L$3:$L$19</xm:f>
          </x14:formula1>
          <xm:sqref>B2:B47</xm:sqref>
        </x14:dataValidation>
        <x14:dataValidation type="list" allowBlank="1" showInputMessage="1" showErrorMessage="1" xr:uid="{E10A0BAD-3B35-440D-AE8D-CAAC97FF25D6}">
          <x14:formula1>
            <xm:f>Datos!$H$3:$H$8</xm:f>
          </x14:formula1>
          <xm:sqref>D2:D47</xm:sqref>
        </x14:dataValidation>
        <x14:dataValidation type="list" allowBlank="1" showInputMessage="1" showErrorMessage="1" xr:uid="{08352A72-6D18-4922-A38F-08D263A8B450}">
          <x14:formula1>
            <xm:f>Datos!$A$3:$A$11</xm:f>
          </x14:formula1>
          <xm:sqref>G2:G47 I42</xm:sqref>
        </x14:dataValidation>
        <x14:dataValidation type="list" allowBlank="1" showInputMessage="1" showErrorMessage="1" xr:uid="{6FF1C5C7-9B12-4952-8B6B-F99896D6A765}">
          <x14:formula1>
            <xm:f>Datos!$F$4:$F$11</xm:f>
          </x14:formula1>
          <xm:sqref>C2:C47</xm:sqref>
        </x14:dataValidation>
        <x14:dataValidation type="list" allowBlank="1" showInputMessage="1" showErrorMessage="1" xr:uid="{E7C76A00-18BB-42C5-8D32-854DD37E3EEA}">
          <x14:formula1>
            <xm:f>Datos!$D$3:$D$7</xm:f>
          </x14:formula1>
          <xm:sqref>F2:F47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156D-3E58-4905-B23D-4623BEFE5AC5}">
  <dimension ref="A1:H521"/>
  <sheetViews>
    <sheetView topLeftCell="A498" workbookViewId="0">
      <selection activeCell="A517" sqref="A517"/>
    </sheetView>
  </sheetViews>
  <sheetFormatPr baseColWidth="10" defaultColWidth="11.44140625" defaultRowHeight="14.4" x14ac:dyDescent="0.3"/>
  <sheetData>
    <row r="1" spans="1:4" x14ac:dyDescent="0.3">
      <c r="A1" s="38" t="s">
        <v>50</v>
      </c>
      <c r="B1" s="38" t="s">
        <v>275</v>
      </c>
      <c r="C1" s="38" t="s">
        <v>276</v>
      </c>
    </row>
    <row r="2" spans="1:4" x14ac:dyDescent="0.3">
      <c r="A2" s="40" t="s">
        <v>277</v>
      </c>
      <c r="B2" s="40">
        <v>8</v>
      </c>
      <c r="C2" t="s">
        <v>278</v>
      </c>
      <c r="D2" t="e">
        <f>VLOOKUP(A:A,Incidencias!B:B,1,FALSE)</f>
        <v>#N/A</v>
      </c>
    </row>
    <row r="3" spans="1:4" x14ac:dyDescent="0.3">
      <c r="A3" s="40" t="s">
        <v>277</v>
      </c>
      <c r="B3" s="39">
        <v>8</v>
      </c>
      <c r="C3" t="s">
        <v>278</v>
      </c>
      <c r="D3" t="e">
        <f>VLOOKUP(A:A,Incidencias!B:B,1,FALSE)</f>
        <v>#N/A</v>
      </c>
    </row>
    <row r="4" spans="1:4" x14ac:dyDescent="0.3">
      <c r="A4" s="40" t="s">
        <v>277</v>
      </c>
      <c r="B4" s="40">
        <v>8</v>
      </c>
      <c r="C4" t="s">
        <v>278</v>
      </c>
      <c r="D4" t="e">
        <f>VLOOKUP(A:A,Incidencias!B:B,1,FALSE)</f>
        <v>#N/A</v>
      </c>
    </row>
    <row r="5" spans="1:4" x14ac:dyDescent="0.3">
      <c r="A5" s="40" t="s">
        <v>277</v>
      </c>
      <c r="B5" s="40">
        <v>6.5</v>
      </c>
      <c r="C5" t="s">
        <v>278</v>
      </c>
      <c r="D5" t="e">
        <f>VLOOKUP(A:A,Incidencias!B:B,1,FALSE)</f>
        <v>#N/A</v>
      </c>
    </row>
    <row r="6" spans="1:4" x14ac:dyDescent="0.3">
      <c r="A6" s="40" t="s">
        <v>277</v>
      </c>
      <c r="B6" s="40">
        <v>1.5</v>
      </c>
      <c r="C6" t="s">
        <v>278</v>
      </c>
      <c r="D6" t="e">
        <f>VLOOKUP(A:A,Incidencias!B:B,1,FALSE)</f>
        <v>#N/A</v>
      </c>
    </row>
    <row r="7" spans="1:4" x14ac:dyDescent="0.3">
      <c r="A7" s="40" t="s">
        <v>277</v>
      </c>
      <c r="B7" s="40">
        <v>6.5</v>
      </c>
      <c r="C7" t="s">
        <v>278</v>
      </c>
      <c r="D7" t="e">
        <f>VLOOKUP(A:A,Incidencias!B:B,1,FALSE)</f>
        <v>#N/A</v>
      </c>
    </row>
    <row r="8" spans="1:4" x14ac:dyDescent="0.3">
      <c r="A8" s="40" t="s">
        <v>277</v>
      </c>
      <c r="B8" s="40">
        <v>1.5</v>
      </c>
      <c r="C8" t="s">
        <v>278</v>
      </c>
      <c r="D8" t="e">
        <f>VLOOKUP(A:A,Incidencias!B:B,1,FALSE)</f>
        <v>#N/A</v>
      </c>
    </row>
    <row r="9" spans="1:4" x14ac:dyDescent="0.3">
      <c r="A9" s="113" t="s">
        <v>277</v>
      </c>
      <c r="B9" s="40">
        <v>1.5</v>
      </c>
      <c r="C9" t="s">
        <v>278</v>
      </c>
      <c r="D9" t="e">
        <f>VLOOKUP(A:A,Incidencias!B:B,1,FALSE)</f>
        <v>#N/A</v>
      </c>
    </row>
    <row r="10" spans="1:4" x14ac:dyDescent="0.3">
      <c r="A10" s="113" t="s">
        <v>277</v>
      </c>
      <c r="B10" s="40">
        <v>2.5</v>
      </c>
      <c r="C10" t="s">
        <v>278</v>
      </c>
      <c r="D10" t="e">
        <f>VLOOKUP(A:A,Incidencias!B:B,1,FALSE)</f>
        <v>#N/A</v>
      </c>
    </row>
    <row r="11" spans="1:4" x14ac:dyDescent="0.3">
      <c r="A11" s="113" t="s">
        <v>277</v>
      </c>
      <c r="B11" s="40">
        <v>5.5</v>
      </c>
      <c r="C11" t="s">
        <v>278</v>
      </c>
      <c r="D11" t="e">
        <f>VLOOKUP(A:A,Incidencias!B:B,1,FALSE)</f>
        <v>#N/A</v>
      </c>
    </row>
    <row r="12" spans="1:4" x14ac:dyDescent="0.3">
      <c r="A12" s="113" t="s">
        <v>277</v>
      </c>
      <c r="B12" s="40">
        <v>3</v>
      </c>
      <c r="C12" t="s">
        <v>278</v>
      </c>
      <c r="D12" t="e">
        <f>VLOOKUP(A:A,Incidencias!B:B,1,FALSE)</f>
        <v>#N/A</v>
      </c>
    </row>
    <row r="13" spans="1:4" x14ac:dyDescent="0.3">
      <c r="A13" s="113" t="s">
        <v>277</v>
      </c>
      <c r="B13" s="40">
        <v>3</v>
      </c>
      <c r="C13" t="s">
        <v>278</v>
      </c>
      <c r="D13" t="e">
        <f>VLOOKUP(A:A,Incidencias!B:B,1,FALSE)</f>
        <v>#N/A</v>
      </c>
    </row>
    <row r="14" spans="1:4" x14ac:dyDescent="0.3">
      <c r="A14" s="113" t="s">
        <v>277</v>
      </c>
      <c r="B14" s="40">
        <v>3.5</v>
      </c>
      <c r="C14" t="s">
        <v>278</v>
      </c>
      <c r="D14" t="e">
        <f>VLOOKUP(A:A,Incidencias!B:B,1,FALSE)</f>
        <v>#N/A</v>
      </c>
    </row>
    <row r="15" spans="1:4" x14ac:dyDescent="0.3">
      <c r="A15" s="113" t="s">
        <v>277</v>
      </c>
      <c r="B15" s="40">
        <v>3.5</v>
      </c>
      <c r="C15" t="s">
        <v>278</v>
      </c>
      <c r="D15" t="e">
        <f>VLOOKUP(A:A,Incidencias!B:B,1,FALSE)</f>
        <v>#N/A</v>
      </c>
    </row>
    <row r="16" spans="1:4" x14ac:dyDescent="0.3">
      <c r="A16" s="40" t="s">
        <v>114</v>
      </c>
      <c r="B16" s="40">
        <v>8</v>
      </c>
      <c r="C16" t="s">
        <v>278</v>
      </c>
      <c r="D16" t="e">
        <f>VLOOKUP(A:A,Incidencias!B:B,1,FALSE)</f>
        <v>#N/A</v>
      </c>
    </row>
    <row r="17" spans="1:4" x14ac:dyDescent="0.3">
      <c r="A17" s="40" t="s">
        <v>114</v>
      </c>
      <c r="B17" s="40">
        <v>2</v>
      </c>
      <c r="C17" t="s">
        <v>278</v>
      </c>
      <c r="D17" t="e">
        <f>VLOOKUP(A:A,Incidencias!B:B,1,FALSE)</f>
        <v>#N/A</v>
      </c>
    </row>
    <row r="18" spans="1:4" x14ac:dyDescent="0.3">
      <c r="A18" s="40" t="s">
        <v>114</v>
      </c>
      <c r="B18" s="40">
        <v>8</v>
      </c>
      <c r="C18" t="s">
        <v>278</v>
      </c>
      <c r="D18" t="e">
        <f>VLOOKUP(A:A,Incidencias!B:B,1,FALSE)</f>
        <v>#N/A</v>
      </c>
    </row>
    <row r="19" spans="1:4" x14ac:dyDescent="0.3">
      <c r="A19" s="40" t="s">
        <v>114</v>
      </c>
      <c r="B19" s="40">
        <v>8</v>
      </c>
      <c r="C19" t="s">
        <v>278</v>
      </c>
      <c r="D19" t="e">
        <f>VLOOKUP(A:A,Incidencias!B:B,1,FALSE)</f>
        <v>#N/A</v>
      </c>
    </row>
    <row r="20" spans="1:4" x14ac:dyDescent="0.3">
      <c r="A20" s="40" t="s">
        <v>114</v>
      </c>
      <c r="B20" s="40">
        <v>1</v>
      </c>
      <c r="C20" t="s">
        <v>278</v>
      </c>
      <c r="D20" t="e">
        <f>VLOOKUP(A:A,Incidencias!B:B,1,FALSE)</f>
        <v>#N/A</v>
      </c>
    </row>
    <row r="21" spans="1:4" x14ac:dyDescent="0.3">
      <c r="A21" s="40" t="s">
        <v>114</v>
      </c>
      <c r="B21" s="40">
        <v>8</v>
      </c>
      <c r="C21" t="s">
        <v>278</v>
      </c>
      <c r="D21" t="e">
        <f>VLOOKUP(A:A,Incidencias!B:B,1,FALSE)</f>
        <v>#N/A</v>
      </c>
    </row>
    <row r="22" spans="1:4" x14ac:dyDescent="0.3">
      <c r="A22" s="40" t="s">
        <v>114</v>
      </c>
      <c r="B22" s="40">
        <v>2</v>
      </c>
      <c r="C22" t="s">
        <v>278</v>
      </c>
      <c r="D22" t="e">
        <f>VLOOKUP(A:A,Incidencias!B:B,1,FALSE)</f>
        <v>#N/A</v>
      </c>
    </row>
    <row r="23" spans="1:4" x14ac:dyDescent="0.3">
      <c r="A23" s="40" t="s">
        <v>114</v>
      </c>
      <c r="B23" s="40">
        <v>1</v>
      </c>
      <c r="C23" t="s">
        <v>278</v>
      </c>
      <c r="D23" t="e">
        <f>VLOOKUP(A:A,Incidencias!B:B,1,FALSE)</f>
        <v>#N/A</v>
      </c>
    </row>
    <row r="24" spans="1:4" x14ac:dyDescent="0.3">
      <c r="A24" s="40" t="s">
        <v>114</v>
      </c>
      <c r="B24" s="40">
        <v>0.5</v>
      </c>
      <c r="C24" t="s">
        <v>278</v>
      </c>
      <c r="D24" t="e">
        <f>VLOOKUP(A:A,Incidencias!B:B,1,FALSE)</f>
        <v>#N/A</v>
      </c>
    </row>
    <row r="25" spans="1:4" x14ac:dyDescent="0.3">
      <c r="A25" s="40" t="s">
        <v>114</v>
      </c>
      <c r="B25" s="40">
        <v>2</v>
      </c>
      <c r="C25" t="s">
        <v>278</v>
      </c>
      <c r="D25" t="e">
        <f>VLOOKUP(A:A,Incidencias!B:B,1,FALSE)</f>
        <v>#N/A</v>
      </c>
    </row>
    <row r="26" spans="1:4" x14ac:dyDescent="0.3">
      <c r="A26" s="40" t="s">
        <v>114</v>
      </c>
      <c r="B26" s="40">
        <v>1</v>
      </c>
      <c r="C26" t="s">
        <v>278</v>
      </c>
      <c r="D26" t="e">
        <f>VLOOKUP(A:A,Incidencias!B:B,1,FALSE)</f>
        <v>#N/A</v>
      </c>
    </row>
    <row r="27" spans="1:4" x14ac:dyDescent="0.3">
      <c r="A27" s="40" t="s">
        <v>114</v>
      </c>
      <c r="B27" s="40">
        <v>1</v>
      </c>
      <c r="C27" t="s">
        <v>278</v>
      </c>
      <c r="D27" t="e">
        <f>VLOOKUP(A:A,Incidencias!B:B,1,FALSE)</f>
        <v>#N/A</v>
      </c>
    </row>
    <row r="28" spans="1:4" x14ac:dyDescent="0.3">
      <c r="A28" s="113" t="s">
        <v>114</v>
      </c>
      <c r="B28" s="40">
        <v>4.5</v>
      </c>
      <c r="C28" t="s">
        <v>278</v>
      </c>
      <c r="D28" t="e">
        <f>VLOOKUP(A:A,Incidencias!B:B,1,FALSE)</f>
        <v>#N/A</v>
      </c>
    </row>
    <row r="29" spans="1:4" x14ac:dyDescent="0.3">
      <c r="A29" s="113" t="s">
        <v>114</v>
      </c>
      <c r="B29" s="40">
        <v>1</v>
      </c>
      <c r="C29" t="s">
        <v>278</v>
      </c>
      <c r="D29" t="e">
        <f>VLOOKUP(A:A,Incidencias!B:B,1,FALSE)</f>
        <v>#N/A</v>
      </c>
    </row>
    <row r="30" spans="1:4" x14ac:dyDescent="0.3">
      <c r="A30" s="40" t="s">
        <v>121</v>
      </c>
      <c r="B30" s="40">
        <v>1</v>
      </c>
      <c r="C30" t="s">
        <v>278</v>
      </c>
      <c r="D30" t="e">
        <f>VLOOKUP(A:A,Incidencias!B:B,1,FALSE)</f>
        <v>#N/A</v>
      </c>
    </row>
    <row r="31" spans="1:4" x14ac:dyDescent="0.3">
      <c r="A31" s="40" t="s">
        <v>121</v>
      </c>
      <c r="B31" s="40">
        <v>8</v>
      </c>
      <c r="C31" t="s">
        <v>278</v>
      </c>
      <c r="D31" t="e">
        <f>VLOOKUP(A:A,Incidencias!B:B,1,FALSE)</f>
        <v>#N/A</v>
      </c>
    </row>
    <row r="32" spans="1:4" x14ac:dyDescent="0.3">
      <c r="A32" s="40" t="s">
        <v>121</v>
      </c>
      <c r="B32" s="40">
        <v>8</v>
      </c>
      <c r="C32" t="s">
        <v>278</v>
      </c>
      <c r="D32" t="e">
        <f>VLOOKUP(A:A,Incidencias!B:B,1,FALSE)</f>
        <v>#N/A</v>
      </c>
    </row>
    <row r="33" spans="1:4" x14ac:dyDescent="0.3">
      <c r="A33" s="40" t="s">
        <v>121</v>
      </c>
      <c r="B33" s="40">
        <v>4</v>
      </c>
      <c r="C33" t="s">
        <v>278</v>
      </c>
      <c r="D33" t="e">
        <f>VLOOKUP(A:A,Incidencias!B:B,1,FALSE)</f>
        <v>#N/A</v>
      </c>
    </row>
    <row r="34" spans="1:4" x14ac:dyDescent="0.3">
      <c r="A34" s="40" t="s">
        <v>121</v>
      </c>
      <c r="B34" s="40">
        <v>4.5</v>
      </c>
      <c r="C34" t="s">
        <v>278</v>
      </c>
      <c r="D34" t="e">
        <f>VLOOKUP(A:A,Incidencias!B:B,1,FALSE)</f>
        <v>#N/A</v>
      </c>
    </row>
    <row r="35" spans="1:4" x14ac:dyDescent="0.3">
      <c r="A35" s="40" t="s">
        <v>121</v>
      </c>
      <c r="B35" s="40">
        <v>5.5</v>
      </c>
      <c r="C35" t="s">
        <v>278</v>
      </c>
      <c r="D35" t="e">
        <f>VLOOKUP(A:A,Incidencias!B:B,1,FALSE)</f>
        <v>#N/A</v>
      </c>
    </row>
    <row r="36" spans="1:4" x14ac:dyDescent="0.3">
      <c r="A36" s="40" t="s">
        <v>121</v>
      </c>
      <c r="B36" s="40">
        <v>5</v>
      </c>
      <c r="C36" t="s">
        <v>278</v>
      </c>
      <c r="D36" t="e">
        <f>VLOOKUP(A:A,Incidencias!B:B,1,FALSE)</f>
        <v>#N/A</v>
      </c>
    </row>
    <row r="37" spans="1:4" x14ac:dyDescent="0.3">
      <c r="A37" s="113" t="s">
        <v>121</v>
      </c>
      <c r="B37" s="40">
        <v>3</v>
      </c>
      <c r="C37" t="s">
        <v>278</v>
      </c>
      <c r="D37" t="e">
        <f>VLOOKUP(A:A,Incidencias!B:B,1,FALSE)</f>
        <v>#N/A</v>
      </c>
    </row>
    <row r="38" spans="1:4" x14ac:dyDescent="0.3">
      <c r="A38" s="40" t="s">
        <v>124</v>
      </c>
      <c r="B38" s="40">
        <v>6</v>
      </c>
      <c r="C38" t="s">
        <v>278</v>
      </c>
      <c r="D38" t="e">
        <f>VLOOKUP(A:A,Incidencias!B:B,1,FALSE)</f>
        <v>#N/A</v>
      </c>
    </row>
    <row r="39" spans="1:4" x14ac:dyDescent="0.3">
      <c r="A39" s="40" t="s">
        <v>124</v>
      </c>
      <c r="B39" s="40">
        <v>8</v>
      </c>
      <c r="C39" t="s">
        <v>278</v>
      </c>
      <c r="D39" t="e">
        <f>VLOOKUP(A:A,Incidencias!B:B,1,FALSE)</f>
        <v>#N/A</v>
      </c>
    </row>
    <row r="40" spans="1:4" x14ac:dyDescent="0.3">
      <c r="A40" s="40" t="s">
        <v>124</v>
      </c>
      <c r="B40" s="40">
        <v>1.5</v>
      </c>
      <c r="C40" t="s">
        <v>278</v>
      </c>
      <c r="D40" t="e">
        <f>VLOOKUP(A:A,Incidencias!B:B,1,FALSE)</f>
        <v>#N/A</v>
      </c>
    </row>
    <row r="41" spans="1:4" x14ac:dyDescent="0.3">
      <c r="A41" s="40" t="s">
        <v>124</v>
      </c>
      <c r="B41" s="40">
        <v>6.5</v>
      </c>
      <c r="C41" t="s">
        <v>278</v>
      </c>
      <c r="D41" t="e">
        <f>VLOOKUP(A:A,Incidencias!B:B,1,FALSE)</f>
        <v>#N/A</v>
      </c>
    </row>
    <row r="42" spans="1:4" x14ac:dyDescent="0.3">
      <c r="A42" s="113" t="s">
        <v>124</v>
      </c>
      <c r="B42" s="40">
        <v>7.5</v>
      </c>
      <c r="C42" t="s">
        <v>278</v>
      </c>
      <c r="D42" t="e">
        <f>VLOOKUP(A:A,Incidencias!B:B,1,FALSE)</f>
        <v>#N/A</v>
      </c>
    </row>
    <row r="43" spans="1:4" x14ac:dyDescent="0.3">
      <c r="A43" s="40" t="s">
        <v>127</v>
      </c>
      <c r="B43" s="40">
        <v>1.5</v>
      </c>
      <c r="C43" t="s">
        <v>278</v>
      </c>
      <c r="D43" t="e">
        <f>VLOOKUP(A:A,Incidencias!B:B,1,FALSE)</f>
        <v>#N/A</v>
      </c>
    </row>
    <row r="44" spans="1:4" x14ac:dyDescent="0.3">
      <c r="A44" s="40" t="s">
        <v>133</v>
      </c>
      <c r="B44" s="40">
        <v>0.5</v>
      </c>
      <c r="C44" t="s">
        <v>278</v>
      </c>
      <c r="D44" t="e">
        <f>VLOOKUP(A:A,Incidencias!B:B,1,FALSE)</f>
        <v>#N/A</v>
      </c>
    </row>
    <row r="45" spans="1:4" x14ac:dyDescent="0.3">
      <c r="A45" s="40" t="s">
        <v>133</v>
      </c>
      <c r="B45" s="40">
        <v>2</v>
      </c>
      <c r="C45" t="s">
        <v>278</v>
      </c>
      <c r="D45" t="e">
        <f>VLOOKUP(A:A,Incidencias!B:B,1,FALSE)</f>
        <v>#N/A</v>
      </c>
    </row>
    <row r="46" spans="1:4" x14ac:dyDescent="0.3">
      <c r="A46" s="40" t="s">
        <v>133</v>
      </c>
      <c r="B46" s="40">
        <v>2</v>
      </c>
      <c r="C46" t="s">
        <v>278</v>
      </c>
      <c r="D46" t="e">
        <f>VLOOKUP(A:A,Incidencias!B:B,1,FALSE)</f>
        <v>#N/A</v>
      </c>
    </row>
    <row r="47" spans="1:4" x14ac:dyDescent="0.3">
      <c r="A47" s="40" t="s">
        <v>133</v>
      </c>
      <c r="B47" s="40">
        <v>1</v>
      </c>
      <c r="C47" t="s">
        <v>278</v>
      </c>
      <c r="D47" t="e">
        <f>VLOOKUP(A:A,Incidencias!B:B,1,FALSE)</f>
        <v>#N/A</v>
      </c>
    </row>
    <row r="48" spans="1:4" x14ac:dyDescent="0.3">
      <c r="A48" s="40" t="s">
        <v>133</v>
      </c>
      <c r="B48" s="40">
        <v>0.5</v>
      </c>
      <c r="C48" t="s">
        <v>278</v>
      </c>
      <c r="D48" t="e">
        <f>VLOOKUP(A:A,Incidencias!B:B,1,FALSE)</f>
        <v>#N/A</v>
      </c>
    </row>
    <row r="49" spans="1:4" x14ac:dyDescent="0.3">
      <c r="A49" s="40" t="s">
        <v>133</v>
      </c>
      <c r="B49" s="40">
        <v>1</v>
      </c>
      <c r="C49" t="s">
        <v>278</v>
      </c>
      <c r="D49" t="e">
        <f>VLOOKUP(A:A,Incidencias!B:B,1,FALSE)</f>
        <v>#N/A</v>
      </c>
    </row>
    <row r="50" spans="1:4" x14ac:dyDescent="0.3">
      <c r="A50" s="113" t="s">
        <v>133</v>
      </c>
      <c r="B50" s="40">
        <v>1.5</v>
      </c>
      <c r="C50" t="s">
        <v>278</v>
      </c>
      <c r="D50" t="e">
        <f>VLOOKUP(A:A,Incidencias!B:B,1,FALSE)</f>
        <v>#N/A</v>
      </c>
    </row>
    <row r="51" spans="1:4" x14ac:dyDescent="0.3">
      <c r="A51" s="113" t="s">
        <v>133</v>
      </c>
      <c r="B51" s="40">
        <v>1</v>
      </c>
      <c r="C51" t="s">
        <v>278</v>
      </c>
      <c r="D51" t="e">
        <f>VLOOKUP(A:A,Incidencias!B:B,1,FALSE)</f>
        <v>#N/A</v>
      </c>
    </row>
    <row r="52" spans="1:4" x14ac:dyDescent="0.3">
      <c r="A52" s="40" t="s">
        <v>136</v>
      </c>
      <c r="B52" s="40">
        <v>1.5</v>
      </c>
      <c r="C52" t="s">
        <v>278</v>
      </c>
      <c r="D52" t="e">
        <f>VLOOKUP(A:A,Incidencias!B:B,1,FALSE)</f>
        <v>#N/A</v>
      </c>
    </row>
    <row r="53" spans="1:4" x14ac:dyDescent="0.3">
      <c r="A53" s="40" t="s">
        <v>136</v>
      </c>
      <c r="B53" s="40">
        <v>3</v>
      </c>
      <c r="C53" t="s">
        <v>278</v>
      </c>
      <c r="D53" t="e">
        <f>VLOOKUP(A:A,Incidencias!B:B,1,FALSE)</f>
        <v>#N/A</v>
      </c>
    </row>
    <row r="54" spans="1:4" x14ac:dyDescent="0.3">
      <c r="A54" s="40" t="s">
        <v>136</v>
      </c>
      <c r="B54" s="40">
        <v>0.5</v>
      </c>
      <c r="C54" t="s">
        <v>278</v>
      </c>
      <c r="D54" t="e">
        <f>VLOOKUP(A:A,Incidencias!B:B,1,FALSE)</f>
        <v>#N/A</v>
      </c>
    </row>
    <row r="55" spans="1:4" x14ac:dyDescent="0.3">
      <c r="A55" s="40" t="s">
        <v>136</v>
      </c>
      <c r="B55" s="40">
        <v>1</v>
      </c>
      <c r="C55" t="s">
        <v>278</v>
      </c>
      <c r="D55" t="e">
        <f>VLOOKUP(A:A,Incidencias!B:B,1,FALSE)</f>
        <v>#N/A</v>
      </c>
    </row>
    <row r="56" spans="1:4" x14ac:dyDescent="0.3">
      <c r="A56" s="40" t="s">
        <v>136</v>
      </c>
      <c r="B56" s="40">
        <v>1</v>
      </c>
      <c r="C56" t="s">
        <v>278</v>
      </c>
      <c r="D56" t="e">
        <f>VLOOKUP(A:A,Incidencias!B:B,1,FALSE)</f>
        <v>#N/A</v>
      </c>
    </row>
    <row r="57" spans="1:4" x14ac:dyDescent="0.3">
      <c r="A57" s="40" t="s">
        <v>136</v>
      </c>
      <c r="B57" s="40">
        <v>2</v>
      </c>
      <c r="C57" t="s">
        <v>278</v>
      </c>
      <c r="D57" t="e">
        <f>VLOOKUP(A:A,Incidencias!B:B,1,FALSE)</f>
        <v>#N/A</v>
      </c>
    </row>
    <row r="58" spans="1:4" x14ac:dyDescent="0.3">
      <c r="A58" s="40" t="s">
        <v>136</v>
      </c>
      <c r="B58" s="40">
        <v>2.5</v>
      </c>
      <c r="C58" t="s">
        <v>278</v>
      </c>
      <c r="D58" t="e">
        <f>VLOOKUP(A:A,Incidencias!B:B,1,FALSE)</f>
        <v>#N/A</v>
      </c>
    </row>
    <row r="59" spans="1:4" x14ac:dyDescent="0.3">
      <c r="A59" s="40" t="s">
        <v>136</v>
      </c>
      <c r="B59" s="40">
        <v>1</v>
      </c>
      <c r="C59" t="s">
        <v>278</v>
      </c>
      <c r="D59" t="e">
        <f>VLOOKUP(A:A,Incidencias!B:B,1,FALSE)</f>
        <v>#N/A</v>
      </c>
    </row>
    <row r="60" spans="1:4" x14ac:dyDescent="0.3">
      <c r="A60" s="113" t="s">
        <v>136</v>
      </c>
      <c r="B60" s="40">
        <v>3</v>
      </c>
      <c r="C60" t="s">
        <v>278</v>
      </c>
      <c r="D60" t="e">
        <f>VLOOKUP(A:A,Incidencias!B:B,1,FALSE)</f>
        <v>#N/A</v>
      </c>
    </row>
    <row r="61" spans="1:4" x14ac:dyDescent="0.3">
      <c r="A61" s="113" t="s">
        <v>136</v>
      </c>
      <c r="B61" s="40">
        <v>0.5</v>
      </c>
      <c r="C61" t="s">
        <v>278</v>
      </c>
      <c r="D61" t="e">
        <f>VLOOKUP(A:A,Incidencias!B:B,1,FALSE)</f>
        <v>#N/A</v>
      </c>
    </row>
    <row r="62" spans="1:4" x14ac:dyDescent="0.3">
      <c r="A62" s="40" t="s">
        <v>279</v>
      </c>
      <c r="B62" s="40">
        <v>0.5</v>
      </c>
      <c r="C62" t="s">
        <v>278</v>
      </c>
      <c r="D62" t="e">
        <f>VLOOKUP(A:A,Incidencias!B:B,1,FALSE)</f>
        <v>#N/A</v>
      </c>
    </row>
    <row r="63" spans="1:4" x14ac:dyDescent="0.3">
      <c r="A63" s="40" t="s">
        <v>279</v>
      </c>
      <c r="B63" s="40">
        <v>1.5</v>
      </c>
      <c r="C63" t="s">
        <v>278</v>
      </c>
      <c r="D63" t="e">
        <f>VLOOKUP(A:A,Incidencias!B:B,1,FALSE)</f>
        <v>#N/A</v>
      </c>
    </row>
    <row r="64" spans="1:4" x14ac:dyDescent="0.3">
      <c r="A64" s="40" t="s">
        <v>279</v>
      </c>
      <c r="B64" s="40">
        <v>0.5</v>
      </c>
      <c r="C64" t="s">
        <v>278</v>
      </c>
      <c r="D64" t="e">
        <f>VLOOKUP(A:A,Incidencias!B:B,1,FALSE)</f>
        <v>#N/A</v>
      </c>
    </row>
    <row r="65" spans="1:4" x14ac:dyDescent="0.3">
      <c r="A65" s="40" t="s">
        <v>279</v>
      </c>
      <c r="B65" s="40">
        <v>2.5</v>
      </c>
      <c r="C65" t="s">
        <v>278</v>
      </c>
      <c r="D65" t="e">
        <f>VLOOKUP(A:A,Incidencias!B:B,1,FALSE)</f>
        <v>#N/A</v>
      </c>
    </row>
    <row r="66" spans="1:4" x14ac:dyDescent="0.3">
      <c r="A66" s="40" t="s">
        <v>279</v>
      </c>
      <c r="B66" s="40">
        <v>2</v>
      </c>
      <c r="C66" t="s">
        <v>278</v>
      </c>
      <c r="D66" t="e">
        <f>VLOOKUP(A:A,Incidencias!B:B,1,FALSE)</f>
        <v>#N/A</v>
      </c>
    </row>
    <row r="67" spans="1:4" x14ac:dyDescent="0.3">
      <c r="A67" s="40" t="s">
        <v>279</v>
      </c>
      <c r="B67" s="40">
        <v>1</v>
      </c>
      <c r="C67" t="s">
        <v>278</v>
      </c>
      <c r="D67" t="e">
        <f>VLOOKUP(A:A,Incidencias!B:B,1,FALSE)</f>
        <v>#N/A</v>
      </c>
    </row>
    <row r="68" spans="1:4" x14ac:dyDescent="0.3">
      <c r="A68" s="40" t="s">
        <v>279</v>
      </c>
      <c r="B68" s="40">
        <v>1</v>
      </c>
      <c r="C68" t="s">
        <v>278</v>
      </c>
      <c r="D68" t="e">
        <f>VLOOKUP(A:A,Incidencias!B:B,1,FALSE)</f>
        <v>#N/A</v>
      </c>
    </row>
    <row r="69" spans="1:4" x14ac:dyDescent="0.3">
      <c r="A69" s="40" t="s">
        <v>142</v>
      </c>
      <c r="B69" s="40">
        <v>3</v>
      </c>
      <c r="C69" t="s">
        <v>278</v>
      </c>
      <c r="D69" t="e">
        <f>VLOOKUP(A:A,Incidencias!B:B,1,FALSE)</f>
        <v>#N/A</v>
      </c>
    </row>
    <row r="70" spans="1:4" x14ac:dyDescent="0.3">
      <c r="A70" s="40" t="s">
        <v>142</v>
      </c>
      <c r="B70" s="40">
        <v>4</v>
      </c>
      <c r="C70" t="s">
        <v>278</v>
      </c>
      <c r="D70" t="e">
        <f>VLOOKUP(A:A,Incidencias!B:B,1,FALSE)</f>
        <v>#N/A</v>
      </c>
    </row>
    <row r="71" spans="1:4" x14ac:dyDescent="0.3">
      <c r="A71" s="40" t="s">
        <v>142</v>
      </c>
      <c r="B71" s="40">
        <v>1.5</v>
      </c>
      <c r="C71" t="s">
        <v>278</v>
      </c>
      <c r="D71" t="e">
        <f>VLOOKUP(A:A,Incidencias!B:B,1,FALSE)</f>
        <v>#N/A</v>
      </c>
    </row>
    <row r="72" spans="1:4" x14ac:dyDescent="0.3">
      <c r="A72" s="40" t="s">
        <v>142</v>
      </c>
      <c r="B72" s="40">
        <v>1.5</v>
      </c>
      <c r="C72" t="s">
        <v>278</v>
      </c>
      <c r="D72" t="e">
        <f>VLOOKUP(A:A,Incidencias!B:B,1,FALSE)</f>
        <v>#N/A</v>
      </c>
    </row>
    <row r="73" spans="1:4" x14ac:dyDescent="0.3">
      <c r="A73" s="40" t="s">
        <v>142</v>
      </c>
      <c r="B73" s="40">
        <v>1.5</v>
      </c>
      <c r="C73" t="s">
        <v>278</v>
      </c>
      <c r="D73" t="e">
        <f>VLOOKUP(A:A,Incidencias!B:B,1,FALSE)</f>
        <v>#N/A</v>
      </c>
    </row>
    <row r="74" spans="1:4" x14ac:dyDescent="0.3">
      <c r="A74" s="113" t="s">
        <v>142</v>
      </c>
      <c r="B74" s="40">
        <v>5.5</v>
      </c>
      <c r="C74" t="s">
        <v>278</v>
      </c>
      <c r="D74" t="e">
        <f>VLOOKUP(A:A,Incidencias!B:B,1,FALSE)</f>
        <v>#N/A</v>
      </c>
    </row>
    <row r="75" spans="1:4" x14ac:dyDescent="0.3">
      <c r="A75" s="40" t="s">
        <v>147</v>
      </c>
      <c r="B75" s="40">
        <v>1.5</v>
      </c>
      <c r="C75" t="s">
        <v>278</v>
      </c>
      <c r="D75" t="e">
        <f>VLOOKUP(A:A,Incidencias!B:B,1,FALSE)</f>
        <v>#N/A</v>
      </c>
    </row>
    <row r="76" spans="1:4" x14ac:dyDescent="0.3">
      <c r="A76" s="113" t="s">
        <v>147</v>
      </c>
      <c r="B76" s="40">
        <v>2</v>
      </c>
      <c r="C76" t="s">
        <v>278</v>
      </c>
      <c r="D76" t="e">
        <f>VLOOKUP(A:A,Incidencias!B:B,1,FALSE)</f>
        <v>#N/A</v>
      </c>
    </row>
    <row r="77" spans="1:4" x14ac:dyDescent="0.3">
      <c r="A77" s="113" t="s">
        <v>150</v>
      </c>
      <c r="B77" s="40">
        <v>7.5</v>
      </c>
      <c r="C77" t="s">
        <v>278</v>
      </c>
      <c r="D77" t="e">
        <f>VLOOKUP(A:A,Incidencias!B:B,1,FALSE)</f>
        <v>#N/A</v>
      </c>
    </row>
    <row r="78" spans="1:4" x14ac:dyDescent="0.3">
      <c r="A78" s="113" t="s">
        <v>150</v>
      </c>
      <c r="B78" s="40">
        <v>2.5</v>
      </c>
      <c r="C78" t="s">
        <v>278</v>
      </c>
      <c r="D78" t="e">
        <f>VLOOKUP(A:A,Incidencias!B:B,1,FALSE)</f>
        <v>#N/A</v>
      </c>
    </row>
    <row r="79" spans="1:4" x14ac:dyDescent="0.3">
      <c r="A79" s="40" t="s">
        <v>153</v>
      </c>
      <c r="B79" s="40">
        <v>2</v>
      </c>
      <c r="C79" t="s">
        <v>278</v>
      </c>
      <c r="D79" t="e">
        <f>VLOOKUP(A:A,Incidencias!B:B,1,FALSE)</f>
        <v>#N/A</v>
      </c>
    </row>
    <row r="80" spans="1:4" x14ac:dyDescent="0.3">
      <c r="A80" s="40" t="s">
        <v>153</v>
      </c>
      <c r="B80" s="40">
        <v>1</v>
      </c>
      <c r="C80" t="s">
        <v>278</v>
      </c>
      <c r="D80" t="e">
        <f>VLOOKUP(A:A,Incidencias!B:B,1,FALSE)</f>
        <v>#N/A</v>
      </c>
    </row>
    <row r="81" spans="1:4" x14ac:dyDescent="0.3">
      <c r="A81" s="40" t="s">
        <v>153</v>
      </c>
      <c r="B81" s="40">
        <v>1</v>
      </c>
      <c r="C81" t="s">
        <v>278</v>
      </c>
      <c r="D81" t="e">
        <f>VLOOKUP(A:A,Incidencias!B:B,1,FALSE)</f>
        <v>#N/A</v>
      </c>
    </row>
    <row r="82" spans="1:4" x14ac:dyDescent="0.3">
      <c r="A82" s="40" t="s">
        <v>153</v>
      </c>
      <c r="B82" s="40">
        <v>0.5</v>
      </c>
      <c r="C82" t="s">
        <v>278</v>
      </c>
      <c r="D82" t="e">
        <f>VLOOKUP(A:A,Incidencias!B:B,1,FALSE)</f>
        <v>#N/A</v>
      </c>
    </row>
    <row r="83" spans="1:4" x14ac:dyDescent="0.3">
      <c r="A83" s="40" t="s">
        <v>153</v>
      </c>
      <c r="B83" s="40">
        <v>2.5</v>
      </c>
      <c r="C83" t="s">
        <v>278</v>
      </c>
      <c r="D83" t="e">
        <f>VLOOKUP(A:A,Incidencias!B:B,1,FALSE)</f>
        <v>#N/A</v>
      </c>
    </row>
    <row r="84" spans="1:4" x14ac:dyDescent="0.3">
      <c r="A84" s="40" t="s">
        <v>153</v>
      </c>
      <c r="B84" s="40">
        <v>1</v>
      </c>
      <c r="C84" t="s">
        <v>278</v>
      </c>
      <c r="D84" t="e">
        <f>VLOOKUP(A:A,Incidencias!B:B,1,FALSE)</f>
        <v>#N/A</v>
      </c>
    </row>
    <row r="85" spans="1:4" x14ac:dyDescent="0.3">
      <c r="A85" s="40" t="s">
        <v>153</v>
      </c>
      <c r="B85" s="40">
        <v>0.5</v>
      </c>
      <c r="C85" t="s">
        <v>278</v>
      </c>
      <c r="D85" t="e">
        <f>VLOOKUP(A:A,Incidencias!B:B,1,FALSE)</f>
        <v>#N/A</v>
      </c>
    </row>
    <row r="86" spans="1:4" x14ac:dyDescent="0.3">
      <c r="A86" s="40" t="s">
        <v>153</v>
      </c>
      <c r="B86" s="40">
        <v>1</v>
      </c>
      <c r="C86" t="s">
        <v>278</v>
      </c>
      <c r="D86" t="e">
        <f>VLOOKUP(A:A,Incidencias!B:B,1,FALSE)</f>
        <v>#N/A</v>
      </c>
    </row>
    <row r="87" spans="1:4" x14ac:dyDescent="0.3">
      <c r="A87" s="40" t="s">
        <v>153</v>
      </c>
      <c r="B87" s="40">
        <v>1.5</v>
      </c>
      <c r="C87" t="s">
        <v>278</v>
      </c>
      <c r="D87" t="e">
        <f>VLOOKUP(A:A,Incidencias!B:B,1,FALSE)</f>
        <v>#N/A</v>
      </c>
    </row>
    <row r="88" spans="1:4" x14ac:dyDescent="0.3">
      <c r="A88" s="113" t="s">
        <v>153</v>
      </c>
      <c r="B88" s="40">
        <v>0.5</v>
      </c>
      <c r="C88" t="s">
        <v>278</v>
      </c>
      <c r="D88" t="e">
        <f>VLOOKUP(A:A,Incidencias!B:B,1,FALSE)</f>
        <v>#N/A</v>
      </c>
    </row>
    <row r="89" spans="1:4" x14ac:dyDescent="0.3">
      <c r="A89" s="40" t="s">
        <v>156</v>
      </c>
      <c r="B89" s="40">
        <v>0.5</v>
      </c>
      <c r="C89" t="s">
        <v>278</v>
      </c>
      <c r="D89" t="e">
        <f>VLOOKUP(A:A,Incidencias!B:B,1,FALSE)</f>
        <v>#N/A</v>
      </c>
    </row>
    <row r="90" spans="1:4" x14ac:dyDescent="0.3">
      <c r="A90" s="113" t="s">
        <v>156</v>
      </c>
      <c r="B90" s="40">
        <v>1</v>
      </c>
      <c r="C90" t="s">
        <v>278</v>
      </c>
      <c r="D90" t="e">
        <f>VLOOKUP(A:A,Incidencias!B:B,1,FALSE)</f>
        <v>#N/A</v>
      </c>
    </row>
    <row r="91" spans="1:4" x14ac:dyDescent="0.3">
      <c r="A91" s="40" t="s">
        <v>162</v>
      </c>
      <c r="B91" s="40">
        <v>1.5</v>
      </c>
      <c r="C91" t="s">
        <v>278</v>
      </c>
      <c r="D91" t="e">
        <f>VLOOKUP(A:A,Incidencias!B:B,1,FALSE)</f>
        <v>#N/A</v>
      </c>
    </row>
    <row r="92" spans="1:4" x14ac:dyDescent="0.3">
      <c r="A92" s="40" t="s">
        <v>162</v>
      </c>
      <c r="B92" s="40">
        <v>1.5</v>
      </c>
      <c r="C92" t="s">
        <v>278</v>
      </c>
      <c r="D92" t="e">
        <f>VLOOKUP(A:A,Incidencias!B:B,1,FALSE)</f>
        <v>#N/A</v>
      </c>
    </row>
    <row r="93" spans="1:4" x14ac:dyDescent="0.3">
      <c r="A93" s="40" t="s">
        <v>162</v>
      </c>
      <c r="B93" s="40">
        <v>0.5</v>
      </c>
      <c r="C93" t="s">
        <v>278</v>
      </c>
      <c r="D93" t="e">
        <f>VLOOKUP(A:A,Incidencias!B:B,1,FALSE)</f>
        <v>#N/A</v>
      </c>
    </row>
    <row r="94" spans="1:4" x14ac:dyDescent="0.3">
      <c r="A94" s="40" t="s">
        <v>162</v>
      </c>
      <c r="B94" s="40">
        <v>0.5</v>
      </c>
      <c r="C94" t="s">
        <v>278</v>
      </c>
      <c r="D94" t="e">
        <f>VLOOKUP(A:A,Incidencias!B:B,1,FALSE)</f>
        <v>#N/A</v>
      </c>
    </row>
    <row r="95" spans="1:4" x14ac:dyDescent="0.3">
      <c r="A95" s="40" t="s">
        <v>162</v>
      </c>
      <c r="B95" s="40">
        <v>1</v>
      </c>
      <c r="C95" t="s">
        <v>278</v>
      </c>
      <c r="D95" t="e">
        <f>VLOOKUP(A:A,Incidencias!B:B,1,FALSE)</f>
        <v>#N/A</v>
      </c>
    </row>
    <row r="96" spans="1:4" x14ac:dyDescent="0.3">
      <c r="A96" s="40" t="s">
        <v>162</v>
      </c>
      <c r="B96" s="40">
        <v>1</v>
      </c>
      <c r="C96" t="s">
        <v>278</v>
      </c>
      <c r="D96" t="e">
        <f>VLOOKUP(A:A,Incidencias!B:B,1,FALSE)</f>
        <v>#N/A</v>
      </c>
    </row>
    <row r="97" spans="1:4" x14ac:dyDescent="0.3">
      <c r="A97" s="40" t="s">
        <v>162</v>
      </c>
      <c r="B97" s="40">
        <v>2</v>
      </c>
      <c r="C97" t="s">
        <v>278</v>
      </c>
      <c r="D97" t="e">
        <f>VLOOKUP(A:A,Incidencias!B:B,1,FALSE)</f>
        <v>#N/A</v>
      </c>
    </row>
    <row r="98" spans="1:4" x14ac:dyDescent="0.3">
      <c r="A98" s="40" t="s">
        <v>162</v>
      </c>
      <c r="B98" s="40">
        <v>1.5</v>
      </c>
      <c r="C98" t="s">
        <v>278</v>
      </c>
      <c r="D98" t="e">
        <f>VLOOKUP(A:A,Incidencias!B:B,1,FALSE)</f>
        <v>#N/A</v>
      </c>
    </row>
    <row r="99" spans="1:4" x14ac:dyDescent="0.3">
      <c r="A99" s="113" t="s">
        <v>162</v>
      </c>
      <c r="B99" s="40">
        <v>1</v>
      </c>
      <c r="C99" t="s">
        <v>278</v>
      </c>
      <c r="D99" t="e">
        <f>VLOOKUP(A:A,Incidencias!B:B,1,FALSE)</f>
        <v>#N/A</v>
      </c>
    </row>
    <row r="100" spans="1:4" x14ac:dyDescent="0.3">
      <c r="A100" s="113" t="s">
        <v>162</v>
      </c>
      <c r="B100" s="40">
        <v>1</v>
      </c>
      <c r="C100" t="s">
        <v>278</v>
      </c>
      <c r="D100" t="e">
        <f>VLOOKUP(A:A,Incidencias!B:B,1,FALSE)</f>
        <v>#N/A</v>
      </c>
    </row>
    <row r="101" spans="1:4" x14ac:dyDescent="0.3">
      <c r="A101" s="40" t="s">
        <v>165</v>
      </c>
      <c r="B101" s="40">
        <v>3</v>
      </c>
      <c r="C101" t="s">
        <v>278</v>
      </c>
      <c r="D101" t="e">
        <f>VLOOKUP(A:A,Incidencias!B:B,1,FALSE)</f>
        <v>#N/A</v>
      </c>
    </row>
    <row r="102" spans="1:4" x14ac:dyDescent="0.3">
      <c r="A102" s="40" t="s">
        <v>165</v>
      </c>
      <c r="B102" s="40">
        <v>0.5</v>
      </c>
      <c r="C102" t="s">
        <v>278</v>
      </c>
      <c r="D102" t="e">
        <f>VLOOKUP(A:A,Incidencias!B:B,1,FALSE)</f>
        <v>#N/A</v>
      </c>
    </row>
    <row r="103" spans="1:4" x14ac:dyDescent="0.3">
      <c r="A103" s="40" t="s">
        <v>165</v>
      </c>
      <c r="B103" s="40">
        <v>1</v>
      </c>
      <c r="C103" t="s">
        <v>278</v>
      </c>
      <c r="D103" t="e">
        <f>VLOOKUP(A:A,Incidencias!B:B,1,FALSE)</f>
        <v>#N/A</v>
      </c>
    </row>
    <row r="104" spans="1:4" x14ac:dyDescent="0.3">
      <c r="A104" s="40" t="s">
        <v>165</v>
      </c>
      <c r="B104" s="40">
        <v>0.5</v>
      </c>
      <c r="C104" t="s">
        <v>278</v>
      </c>
      <c r="D104" t="e">
        <f>VLOOKUP(A:A,Incidencias!B:B,1,FALSE)</f>
        <v>#N/A</v>
      </c>
    </row>
    <row r="105" spans="1:4" x14ac:dyDescent="0.3">
      <c r="A105" s="40" t="s">
        <v>165</v>
      </c>
      <c r="B105" s="40">
        <v>1</v>
      </c>
      <c r="C105" t="s">
        <v>278</v>
      </c>
      <c r="D105" t="e">
        <f>VLOOKUP(A:A,Incidencias!B:B,1,FALSE)</f>
        <v>#N/A</v>
      </c>
    </row>
    <row r="106" spans="1:4" x14ac:dyDescent="0.3">
      <c r="A106" s="40" t="s">
        <v>165</v>
      </c>
      <c r="B106" s="40">
        <v>1</v>
      </c>
      <c r="C106" t="s">
        <v>278</v>
      </c>
      <c r="D106" t="e">
        <f>VLOOKUP(A:A,Incidencias!B:B,1,FALSE)</f>
        <v>#N/A</v>
      </c>
    </row>
    <row r="107" spans="1:4" x14ac:dyDescent="0.3">
      <c r="A107" s="40" t="s">
        <v>165</v>
      </c>
      <c r="B107" s="40">
        <v>1</v>
      </c>
      <c r="C107" t="s">
        <v>278</v>
      </c>
      <c r="D107" t="e">
        <f>VLOOKUP(A:A,Incidencias!B:B,1,FALSE)</f>
        <v>#N/A</v>
      </c>
    </row>
    <row r="108" spans="1:4" x14ac:dyDescent="0.3">
      <c r="A108" s="40" t="s">
        <v>168</v>
      </c>
      <c r="B108" s="40">
        <v>3</v>
      </c>
      <c r="C108" t="s">
        <v>278</v>
      </c>
      <c r="D108" t="e">
        <f>VLOOKUP(A:A,Incidencias!B:B,1,FALSE)</f>
        <v>#N/A</v>
      </c>
    </row>
    <row r="109" spans="1:4" x14ac:dyDescent="0.3">
      <c r="A109" s="40" t="s">
        <v>168</v>
      </c>
      <c r="B109" s="40">
        <v>4</v>
      </c>
      <c r="C109" t="s">
        <v>278</v>
      </c>
      <c r="D109" t="e">
        <f>VLOOKUP(A:A,Incidencias!B:B,1,FALSE)</f>
        <v>#N/A</v>
      </c>
    </row>
    <row r="110" spans="1:4" x14ac:dyDescent="0.3">
      <c r="A110" s="40" t="s">
        <v>168</v>
      </c>
      <c r="B110" s="40">
        <v>4</v>
      </c>
      <c r="C110" t="s">
        <v>278</v>
      </c>
      <c r="D110" t="e">
        <f>VLOOKUP(A:A,Incidencias!B:B,1,FALSE)</f>
        <v>#N/A</v>
      </c>
    </row>
    <row r="111" spans="1:4" x14ac:dyDescent="0.3">
      <c r="A111" s="40" t="s">
        <v>168</v>
      </c>
      <c r="B111" s="40">
        <v>1.5</v>
      </c>
      <c r="C111" t="s">
        <v>278</v>
      </c>
      <c r="D111" t="e">
        <f>VLOOKUP(A:A,Incidencias!B:B,1,FALSE)</f>
        <v>#N/A</v>
      </c>
    </row>
    <row r="112" spans="1:4" x14ac:dyDescent="0.3">
      <c r="A112" s="40" t="s">
        <v>168</v>
      </c>
      <c r="B112" s="40">
        <v>4</v>
      </c>
      <c r="C112" t="s">
        <v>278</v>
      </c>
      <c r="D112" t="e">
        <f>VLOOKUP(A:A,Incidencias!B:B,1,FALSE)</f>
        <v>#N/A</v>
      </c>
    </row>
    <row r="113" spans="1:4" x14ac:dyDescent="0.3">
      <c r="A113" s="40" t="s">
        <v>168</v>
      </c>
      <c r="B113" s="40">
        <v>4</v>
      </c>
      <c r="C113" t="s">
        <v>278</v>
      </c>
      <c r="D113" t="e">
        <f>VLOOKUP(A:A,Incidencias!B:B,1,FALSE)</f>
        <v>#N/A</v>
      </c>
    </row>
    <row r="114" spans="1:4" x14ac:dyDescent="0.3">
      <c r="A114" s="40" t="s">
        <v>168</v>
      </c>
      <c r="B114" s="40">
        <v>4</v>
      </c>
      <c r="C114" t="s">
        <v>278</v>
      </c>
      <c r="D114" t="e">
        <f>VLOOKUP(A:A,Incidencias!B:B,1,FALSE)</f>
        <v>#N/A</v>
      </c>
    </row>
    <row r="115" spans="1:4" x14ac:dyDescent="0.3">
      <c r="A115" s="40" t="s">
        <v>168</v>
      </c>
      <c r="B115" s="40">
        <v>4</v>
      </c>
      <c r="C115" t="s">
        <v>278</v>
      </c>
      <c r="D115" t="e">
        <f>VLOOKUP(A:A,Incidencias!B:B,1,FALSE)</f>
        <v>#N/A</v>
      </c>
    </row>
    <row r="116" spans="1:4" x14ac:dyDescent="0.3">
      <c r="A116" s="40" t="s">
        <v>168</v>
      </c>
      <c r="B116" s="40">
        <v>3</v>
      </c>
      <c r="C116" t="s">
        <v>278</v>
      </c>
      <c r="D116" t="e">
        <f>VLOOKUP(A:A,Incidencias!B:B,1,FALSE)</f>
        <v>#N/A</v>
      </c>
    </row>
    <row r="117" spans="1:4" x14ac:dyDescent="0.3">
      <c r="A117" s="40" t="s">
        <v>168</v>
      </c>
      <c r="B117" s="40">
        <v>3.5</v>
      </c>
      <c r="C117" t="s">
        <v>278</v>
      </c>
      <c r="D117" t="e">
        <f>VLOOKUP(A:A,Incidencias!B:B,1,FALSE)</f>
        <v>#N/A</v>
      </c>
    </row>
    <row r="118" spans="1:4" x14ac:dyDescent="0.3">
      <c r="A118" s="40" t="s">
        <v>168</v>
      </c>
      <c r="B118" s="40">
        <v>0.5</v>
      </c>
      <c r="C118" t="s">
        <v>278</v>
      </c>
      <c r="D118" t="e">
        <f>VLOOKUP(A:A,Incidencias!B:B,1,FALSE)</f>
        <v>#N/A</v>
      </c>
    </row>
    <row r="119" spans="1:4" x14ac:dyDescent="0.3">
      <c r="A119" s="40" t="s">
        <v>168</v>
      </c>
      <c r="B119" s="40">
        <v>1.5</v>
      </c>
      <c r="C119" t="s">
        <v>278</v>
      </c>
      <c r="D119" t="e">
        <f>VLOOKUP(A:A,Incidencias!B:B,1,FALSE)</f>
        <v>#N/A</v>
      </c>
    </row>
    <row r="120" spans="1:4" x14ac:dyDescent="0.3">
      <c r="A120" s="40" t="s">
        <v>168</v>
      </c>
      <c r="B120" s="40">
        <v>1</v>
      </c>
      <c r="C120" t="s">
        <v>278</v>
      </c>
      <c r="D120" t="e">
        <f>VLOOKUP(A:A,Incidencias!B:B,1,FALSE)</f>
        <v>#N/A</v>
      </c>
    </row>
    <row r="121" spans="1:4" x14ac:dyDescent="0.3">
      <c r="A121" s="40" t="s">
        <v>168</v>
      </c>
      <c r="B121" s="40">
        <v>1</v>
      </c>
      <c r="C121" t="s">
        <v>278</v>
      </c>
      <c r="D121" t="e">
        <f>VLOOKUP(A:A,Incidencias!B:B,1,FALSE)</f>
        <v>#N/A</v>
      </c>
    </row>
    <row r="122" spans="1:4" x14ac:dyDescent="0.3">
      <c r="A122" s="40" t="s">
        <v>168</v>
      </c>
      <c r="B122" s="40">
        <v>3.5</v>
      </c>
      <c r="C122" t="s">
        <v>278</v>
      </c>
      <c r="D122" t="e">
        <f>VLOOKUP(A:A,Incidencias!B:B,1,FALSE)</f>
        <v>#N/A</v>
      </c>
    </row>
    <row r="123" spans="1:4" x14ac:dyDescent="0.3">
      <c r="A123" s="40" t="s">
        <v>168</v>
      </c>
      <c r="B123" s="40">
        <v>4.5</v>
      </c>
      <c r="C123" t="s">
        <v>278</v>
      </c>
      <c r="D123" t="e">
        <f>VLOOKUP(A:A,Incidencias!B:B,1,FALSE)</f>
        <v>#N/A</v>
      </c>
    </row>
    <row r="124" spans="1:4" x14ac:dyDescent="0.3">
      <c r="A124" s="40" t="s">
        <v>168</v>
      </c>
      <c r="B124" s="40">
        <v>4.5</v>
      </c>
      <c r="C124" t="s">
        <v>278</v>
      </c>
      <c r="D124" t="e">
        <f>VLOOKUP(A:A,Incidencias!B:B,1,FALSE)</f>
        <v>#N/A</v>
      </c>
    </row>
    <row r="125" spans="1:4" x14ac:dyDescent="0.3">
      <c r="A125" s="40" t="s">
        <v>168</v>
      </c>
      <c r="B125" s="40">
        <v>3.5</v>
      </c>
      <c r="C125" t="s">
        <v>278</v>
      </c>
      <c r="D125" t="e">
        <f>VLOOKUP(A:A,Incidencias!B:B,1,FALSE)</f>
        <v>#N/A</v>
      </c>
    </row>
    <row r="126" spans="1:4" x14ac:dyDescent="0.3">
      <c r="A126" s="40" t="s">
        <v>168</v>
      </c>
      <c r="B126" s="40">
        <v>4</v>
      </c>
      <c r="C126" t="s">
        <v>278</v>
      </c>
      <c r="D126" t="e">
        <f>VLOOKUP(A:A,Incidencias!B:B,1,FALSE)</f>
        <v>#N/A</v>
      </c>
    </row>
    <row r="127" spans="1:4" x14ac:dyDescent="0.3">
      <c r="A127" s="40" t="s">
        <v>168</v>
      </c>
      <c r="B127" s="40">
        <v>4.5</v>
      </c>
      <c r="C127" t="s">
        <v>278</v>
      </c>
      <c r="D127" t="e">
        <f>VLOOKUP(A:A,Incidencias!B:B,1,FALSE)</f>
        <v>#N/A</v>
      </c>
    </row>
    <row r="128" spans="1:4" x14ac:dyDescent="0.3">
      <c r="A128" s="40" t="s">
        <v>168</v>
      </c>
      <c r="B128" s="40">
        <v>4.5</v>
      </c>
      <c r="C128" t="s">
        <v>278</v>
      </c>
      <c r="D128" t="e">
        <f>VLOOKUP(A:A,Incidencias!B:B,1,FALSE)</f>
        <v>#N/A</v>
      </c>
    </row>
    <row r="129" spans="1:4" x14ac:dyDescent="0.3">
      <c r="A129" s="40" t="s">
        <v>168</v>
      </c>
      <c r="B129" s="40">
        <v>4</v>
      </c>
      <c r="C129" t="s">
        <v>278</v>
      </c>
      <c r="D129" t="e">
        <f>VLOOKUP(A:A,Incidencias!B:B,1,FALSE)</f>
        <v>#N/A</v>
      </c>
    </row>
    <row r="130" spans="1:4" x14ac:dyDescent="0.3">
      <c r="A130" s="40" t="s">
        <v>168</v>
      </c>
      <c r="B130" s="40">
        <v>3.5</v>
      </c>
      <c r="C130" t="s">
        <v>278</v>
      </c>
      <c r="D130" t="e">
        <f>VLOOKUP(A:A,Incidencias!B:B,1,FALSE)</f>
        <v>#N/A</v>
      </c>
    </row>
    <row r="131" spans="1:4" x14ac:dyDescent="0.3">
      <c r="A131" s="40" t="s">
        <v>168</v>
      </c>
      <c r="B131" s="40">
        <v>2</v>
      </c>
      <c r="C131" t="s">
        <v>278</v>
      </c>
      <c r="D131" t="e">
        <f>VLOOKUP(A:A,Incidencias!B:B,1,FALSE)</f>
        <v>#N/A</v>
      </c>
    </row>
    <row r="132" spans="1:4" x14ac:dyDescent="0.3">
      <c r="A132" s="40" t="s">
        <v>168</v>
      </c>
      <c r="B132" s="40">
        <v>2</v>
      </c>
      <c r="C132" t="s">
        <v>278</v>
      </c>
      <c r="D132" t="e">
        <f>VLOOKUP(A:A,Incidencias!B:B,1,FALSE)</f>
        <v>#N/A</v>
      </c>
    </row>
    <row r="133" spans="1:4" x14ac:dyDescent="0.3">
      <c r="A133" s="40" t="s">
        <v>168</v>
      </c>
      <c r="B133" s="40">
        <v>4.5</v>
      </c>
      <c r="C133" t="s">
        <v>278</v>
      </c>
      <c r="D133" t="e">
        <f>VLOOKUP(A:A,Incidencias!B:B,1,FALSE)</f>
        <v>#N/A</v>
      </c>
    </row>
    <row r="134" spans="1:4" x14ac:dyDescent="0.3">
      <c r="A134" s="113" t="s">
        <v>168</v>
      </c>
      <c r="B134" s="40">
        <v>8</v>
      </c>
      <c r="C134" t="s">
        <v>278</v>
      </c>
      <c r="D134" t="e">
        <f>VLOOKUP(A:A,Incidencias!B:B,1,FALSE)</f>
        <v>#N/A</v>
      </c>
    </row>
    <row r="135" spans="1:4" x14ac:dyDescent="0.3">
      <c r="A135" s="113" t="s">
        <v>168</v>
      </c>
      <c r="B135" s="40">
        <v>2</v>
      </c>
      <c r="C135" t="s">
        <v>278</v>
      </c>
      <c r="D135" t="e">
        <f>VLOOKUP(A:A,Incidencias!B:B,1,FALSE)</f>
        <v>#N/A</v>
      </c>
    </row>
    <row r="136" spans="1:4" x14ac:dyDescent="0.3">
      <c r="A136" s="113" t="s">
        <v>168</v>
      </c>
      <c r="B136" s="40">
        <v>5</v>
      </c>
      <c r="C136" t="s">
        <v>278</v>
      </c>
      <c r="D136" t="e">
        <f>VLOOKUP(A:A,Incidencias!B:B,1,FALSE)</f>
        <v>#N/A</v>
      </c>
    </row>
    <row r="137" spans="1:4" x14ac:dyDescent="0.3">
      <c r="A137" s="113" t="s">
        <v>168</v>
      </c>
      <c r="B137" s="40">
        <v>4.5</v>
      </c>
      <c r="C137" t="s">
        <v>278</v>
      </c>
      <c r="D137" t="e">
        <f>VLOOKUP(A:A,Incidencias!B:B,1,FALSE)</f>
        <v>#N/A</v>
      </c>
    </row>
    <row r="138" spans="1:4" x14ac:dyDescent="0.3">
      <c r="A138" s="113" t="s">
        <v>168</v>
      </c>
      <c r="B138" s="40">
        <v>3.5</v>
      </c>
      <c r="C138" t="s">
        <v>278</v>
      </c>
      <c r="D138" t="e">
        <f>VLOOKUP(A:A,Incidencias!B:B,1,FALSE)</f>
        <v>#N/A</v>
      </c>
    </row>
    <row r="139" spans="1:4" x14ac:dyDescent="0.3">
      <c r="A139" s="113" t="s">
        <v>168</v>
      </c>
      <c r="B139" s="40">
        <v>4.5</v>
      </c>
      <c r="C139" t="s">
        <v>278</v>
      </c>
      <c r="D139" t="e">
        <f>VLOOKUP(A:A,Incidencias!B:B,1,FALSE)</f>
        <v>#N/A</v>
      </c>
    </row>
    <row r="140" spans="1:4" x14ac:dyDescent="0.3">
      <c r="A140" s="113" t="s">
        <v>168</v>
      </c>
      <c r="B140" s="40">
        <v>1.5</v>
      </c>
      <c r="C140" t="s">
        <v>278</v>
      </c>
      <c r="D140" t="e">
        <f>VLOOKUP(A:A,Incidencias!B:B,1,FALSE)</f>
        <v>#N/A</v>
      </c>
    </row>
    <row r="141" spans="1:4" x14ac:dyDescent="0.3">
      <c r="A141" s="113" t="s">
        <v>168</v>
      </c>
      <c r="B141" s="40">
        <v>2.5</v>
      </c>
      <c r="C141" t="s">
        <v>278</v>
      </c>
      <c r="D141" t="e">
        <f>VLOOKUP(A:A,Incidencias!B:B,1,FALSE)</f>
        <v>#N/A</v>
      </c>
    </row>
    <row r="142" spans="1:4" x14ac:dyDescent="0.3">
      <c r="A142" s="113" t="s">
        <v>168</v>
      </c>
      <c r="B142" s="40">
        <v>3.5</v>
      </c>
      <c r="C142" t="s">
        <v>278</v>
      </c>
      <c r="D142" t="e">
        <f>VLOOKUP(A:A,Incidencias!B:B,1,FALSE)</f>
        <v>#N/A</v>
      </c>
    </row>
    <row r="143" spans="1:4" x14ac:dyDescent="0.3">
      <c r="A143" s="113" t="s">
        <v>168</v>
      </c>
      <c r="B143" s="40">
        <v>3</v>
      </c>
      <c r="C143" t="s">
        <v>278</v>
      </c>
      <c r="D143" t="e">
        <f>VLOOKUP(A:A,Incidencias!B:B,1,FALSE)</f>
        <v>#N/A</v>
      </c>
    </row>
    <row r="144" spans="1:4" x14ac:dyDescent="0.3">
      <c r="A144" s="113" t="s">
        <v>168</v>
      </c>
      <c r="B144" s="40">
        <v>2</v>
      </c>
      <c r="C144" t="s">
        <v>278</v>
      </c>
      <c r="D144" t="e">
        <f>VLOOKUP(A:A,Incidencias!B:B,1,FALSE)</f>
        <v>#N/A</v>
      </c>
    </row>
    <row r="145" spans="1:4" x14ac:dyDescent="0.3">
      <c r="A145" s="113" t="s">
        <v>168</v>
      </c>
      <c r="B145" s="40">
        <v>1</v>
      </c>
      <c r="C145" t="s">
        <v>278</v>
      </c>
      <c r="D145" t="e">
        <f>VLOOKUP(A:A,Incidencias!B:B,1,FALSE)</f>
        <v>#N/A</v>
      </c>
    </row>
    <row r="146" spans="1:4" x14ac:dyDescent="0.3">
      <c r="A146" s="113" t="s">
        <v>168</v>
      </c>
      <c r="B146" s="40">
        <v>0.5</v>
      </c>
      <c r="C146" t="s">
        <v>278</v>
      </c>
      <c r="D146" t="e">
        <f>VLOOKUP(A:A,Incidencias!B:B,1,FALSE)</f>
        <v>#N/A</v>
      </c>
    </row>
    <row r="147" spans="1:4" x14ac:dyDescent="0.3">
      <c r="A147" s="113" t="s">
        <v>168</v>
      </c>
      <c r="B147" s="40">
        <v>2</v>
      </c>
      <c r="C147" t="s">
        <v>278</v>
      </c>
      <c r="D147" t="e">
        <f>VLOOKUP(A:A,Incidencias!B:B,1,FALSE)</f>
        <v>#N/A</v>
      </c>
    </row>
    <row r="148" spans="1:4" x14ac:dyDescent="0.3">
      <c r="A148" s="113" t="s">
        <v>168</v>
      </c>
      <c r="B148" s="40">
        <v>2</v>
      </c>
      <c r="C148" t="s">
        <v>278</v>
      </c>
      <c r="D148" t="e">
        <f>VLOOKUP(A:A,Incidencias!B:B,1,FALSE)</f>
        <v>#N/A</v>
      </c>
    </row>
    <row r="149" spans="1:4" x14ac:dyDescent="0.3">
      <c r="A149" s="40" t="s">
        <v>172</v>
      </c>
      <c r="B149" s="40">
        <v>5.5</v>
      </c>
      <c r="C149" t="s">
        <v>278</v>
      </c>
      <c r="D149" t="e">
        <f>VLOOKUP(A:A,Incidencias!B:B,1,FALSE)</f>
        <v>#N/A</v>
      </c>
    </row>
    <row r="150" spans="1:4" x14ac:dyDescent="0.3">
      <c r="A150" s="113" t="s">
        <v>172</v>
      </c>
      <c r="B150" s="40">
        <v>2</v>
      </c>
      <c r="C150" t="s">
        <v>278</v>
      </c>
      <c r="D150" t="e">
        <f>VLOOKUP(A:A,Incidencias!B:B,1,FALSE)</f>
        <v>#N/A</v>
      </c>
    </row>
    <row r="151" spans="1:4" x14ac:dyDescent="0.3">
      <c r="A151" s="113" t="s">
        <v>172</v>
      </c>
      <c r="B151" s="40">
        <v>2</v>
      </c>
      <c r="C151" t="s">
        <v>278</v>
      </c>
      <c r="D151" t="e">
        <f>VLOOKUP(A:A,Incidencias!B:B,1,FALSE)</f>
        <v>#N/A</v>
      </c>
    </row>
    <row r="152" spans="1:4" x14ac:dyDescent="0.3">
      <c r="A152" s="40" t="s">
        <v>175</v>
      </c>
      <c r="B152" s="40">
        <v>2</v>
      </c>
      <c r="C152" t="s">
        <v>278</v>
      </c>
      <c r="D152" t="e">
        <f>VLOOKUP(A:A,Incidencias!B:B,1,FALSE)</f>
        <v>#N/A</v>
      </c>
    </row>
    <row r="153" spans="1:4" x14ac:dyDescent="0.3">
      <c r="A153" s="39" t="s">
        <v>175</v>
      </c>
      <c r="B153" s="40">
        <v>2</v>
      </c>
      <c r="C153" t="s">
        <v>278</v>
      </c>
      <c r="D153" t="e">
        <f>VLOOKUP(A:A,Incidencias!B:B,1,FALSE)</f>
        <v>#N/A</v>
      </c>
    </row>
    <row r="154" spans="1:4" x14ac:dyDescent="0.3">
      <c r="A154" s="40" t="s">
        <v>175</v>
      </c>
      <c r="B154" s="40">
        <v>1</v>
      </c>
      <c r="C154" t="s">
        <v>278</v>
      </c>
      <c r="D154" t="e">
        <f>VLOOKUP(A:A,Incidencias!B:B,1,FALSE)</f>
        <v>#N/A</v>
      </c>
    </row>
    <row r="155" spans="1:4" x14ac:dyDescent="0.3">
      <c r="A155" s="40" t="s">
        <v>175</v>
      </c>
      <c r="B155" s="40">
        <v>1</v>
      </c>
      <c r="C155" t="s">
        <v>278</v>
      </c>
      <c r="D155" t="e">
        <f>VLOOKUP(A:A,Incidencias!B:B,1,FALSE)</f>
        <v>#N/A</v>
      </c>
    </row>
    <row r="156" spans="1:4" x14ac:dyDescent="0.3">
      <c r="A156" s="40" t="s">
        <v>175</v>
      </c>
      <c r="B156" s="40">
        <v>1</v>
      </c>
      <c r="C156" t="s">
        <v>278</v>
      </c>
      <c r="D156" t="e">
        <f>VLOOKUP(A:A,Incidencias!B:B,1,FALSE)</f>
        <v>#N/A</v>
      </c>
    </row>
    <row r="157" spans="1:4" x14ac:dyDescent="0.3">
      <c r="A157" s="40" t="s">
        <v>175</v>
      </c>
      <c r="B157" s="40">
        <v>1</v>
      </c>
      <c r="C157" t="s">
        <v>278</v>
      </c>
      <c r="D157" t="e">
        <f>VLOOKUP(A:A,Incidencias!B:B,1,FALSE)</f>
        <v>#N/A</v>
      </c>
    </row>
    <row r="158" spans="1:4" x14ac:dyDescent="0.3">
      <c r="A158" s="40" t="s">
        <v>175</v>
      </c>
      <c r="B158" s="40">
        <v>1</v>
      </c>
      <c r="C158" t="s">
        <v>278</v>
      </c>
      <c r="D158" t="e">
        <f>VLOOKUP(A:A,Incidencias!B:B,1,FALSE)</f>
        <v>#N/A</v>
      </c>
    </row>
    <row r="159" spans="1:4" x14ac:dyDescent="0.3">
      <c r="A159" s="40" t="s">
        <v>175</v>
      </c>
      <c r="B159" s="40">
        <v>1</v>
      </c>
      <c r="C159" t="s">
        <v>278</v>
      </c>
      <c r="D159" t="e">
        <f>VLOOKUP(A:A,Incidencias!B:B,1,FALSE)</f>
        <v>#N/A</v>
      </c>
    </row>
    <row r="160" spans="1:4" x14ac:dyDescent="0.3">
      <c r="A160" s="40" t="s">
        <v>175</v>
      </c>
      <c r="B160" s="40">
        <v>3</v>
      </c>
      <c r="C160" t="s">
        <v>278</v>
      </c>
      <c r="D160" t="e">
        <f>VLOOKUP(A:A,Incidencias!B:B,1,FALSE)</f>
        <v>#N/A</v>
      </c>
    </row>
    <row r="161" spans="1:4" x14ac:dyDescent="0.3">
      <c r="A161" s="40" t="s">
        <v>175</v>
      </c>
      <c r="B161" s="40">
        <v>1</v>
      </c>
      <c r="C161" t="s">
        <v>278</v>
      </c>
      <c r="D161" t="e">
        <f>VLOOKUP(A:A,Incidencias!B:B,1,FALSE)</f>
        <v>#N/A</v>
      </c>
    </row>
    <row r="162" spans="1:4" x14ac:dyDescent="0.3">
      <c r="A162" s="40" t="s">
        <v>175</v>
      </c>
      <c r="B162" s="40">
        <v>1</v>
      </c>
      <c r="C162" t="s">
        <v>278</v>
      </c>
      <c r="D162" t="e">
        <f>VLOOKUP(A:A,Incidencias!B:B,1,FALSE)</f>
        <v>#N/A</v>
      </c>
    </row>
    <row r="163" spans="1:4" x14ac:dyDescent="0.3">
      <c r="A163" s="40" t="s">
        <v>175</v>
      </c>
      <c r="B163" s="40">
        <v>1</v>
      </c>
      <c r="C163" t="s">
        <v>278</v>
      </c>
      <c r="D163" t="e">
        <f>VLOOKUP(A:A,Incidencias!B:B,1,FALSE)</f>
        <v>#N/A</v>
      </c>
    </row>
    <row r="164" spans="1:4" x14ac:dyDescent="0.3">
      <c r="A164" s="40" t="s">
        <v>175</v>
      </c>
      <c r="B164" s="40">
        <v>2</v>
      </c>
      <c r="C164" t="s">
        <v>278</v>
      </c>
      <c r="D164" t="e">
        <f>VLOOKUP(A:A,Incidencias!B:B,1,FALSE)</f>
        <v>#N/A</v>
      </c>
    </row>
    <row r="165" spans="1:4" x14ac:dyDescent="0.3">
      <c r="A165" s="40" t="s">
        <v>175</v>
      </c>
      <c r="B165" s="40">
        <v>4</v>
      </c>
      <c r="C165" t="s">
        <v>278</v>
      </c>
      <c r="D165" t="e">
        <f>VLOOKUP(A:A,Incidencias!B:B,1,FALSE)</f>
        <v>#N/A</v>
      </c>
    </row>
    <row r="166" spans="1:4" x14ac:dyDescent="0.3">
      <c r="A166" s="40" t="s">
        <v>175</v>
      </c>
      <c r="B166" s="40">
        <v>4</v>
      </c>
      <c r="C166" t="s">
        <v>278</v>
      </c>
      <c r="D166" t="e">
        <f>VLOOKUP(A:A,Incidencias!B:B,1,FALSE)</f>
        <v>#N/A</v>
      </c>
    </row>
    <row r="167" spans="1:4" x14ac:dyDescent="0.3">
      <c r="A167" s="40" t="s">
        <v>175</v>
      </c>
      <c r="B167" s="40">
        <v>4</v>
      </c>
      <c r="C167" t="s">
        <v>278</v>
      </c>
      <c r="D167" t="e">
        <f>VLOOKUP(A:A,Incidencias!B:B,1,FALSE)</f>
        <v>#N/A</v>
      </c>
    </row>
    <row r="168" spans="1:4" x14ac:dyDescent="0.3">
      <c r="A168" s="40" t="s">
        <v>175</v>
      </c>
      <c r="B168" s="40">
        <v>1</v>
      </c>
      <c r="C168" t="s">
        <v>278</v>
      </c>
      <c r="D168" t="e">
        <f>VLOOKUP(A:A,Incidencias!B:B,1,FALSE)</f>
        <v>#N/A</v>
      </c>
    </row>
    <row r="169" spans="1:4" x14ac:dyDescent="0.3">
      <c r="A169" s="40" t="s">
        <v>175</v>
      </c>
      <c r="B169" s="40">
        <v>5</v>
      </c>
      <c r="C169" t="s">
        <v>278</v>
      </c>
      <c r="D169" t="e">
        <f>VLOOKUP(A:A,Incidencias!B:B,1,FALSE)</f>
        <v>#N/A</v>
      </c>
    </row>
    <row r="170" spans="1:4" x14ac:dyDescent="0.3">
      <c r="A170" s="40" t="s">
        <v>175</v>
      </c>
      <c r="B170" s="40">
        <v>3</v>
      </c>
      <c r="C170" t="s">
        <v>278</v>
      </c>
      <c r="D170" t="e">
        <f>VLOOKUP(A:A,Incidencias!B:B,1,FALSE)</f>
        <v>#N/A</v>
      </c>
    </row>
    <row r="171" spans="1:4" x14ac:dyDescent="0.3">
      <c r="A171" s="113" t="s">
        <v>175</v>
      </c>
      <c r="B171" s="40">
        <v>5</v>
      </c>
      <c r="C171" t="s">
        <v>278</v>
      </c>
      <c r="D171" t="e">
        <f>VLOOKUP(A:A,Incidencias!B:B,1,FALSE)</f>
        <v>#N/A</v>
      </c>
    </row>
    <row r="172" spans="1:4" x14ac:dyDescent="0.3">
      <c r="A172" s="113" t="s">
        <v>175</v>
      </c>
      <c r="B172" s="40">
        <v>3</v>
      </c>
      <c r="C172" t="s">
        <v>278</v>
      </c>
      <c r="D172" t="e">
        <f>VLOOKUP(A:A,Incidencias!B:B,1,FALSE)</f>
        <v>#N/A</v>
      </c>
    </row>
    <row r="173" spans="1:4" x14ac:dyDescent="0.3">
      <c r="A173" s="113" t="s">
        <v>175</v>
      </c>
      <c r="B173" s="40">
        <v>4</v>
      </c>
      <c r="C173" t="s">
        <v>278</v>
      </c>
      <c r="D173" t="e">
        <f>VLOOKUP(A:A,Incidencias!B:B,1,FALSE)</f>
        <v>#N/A</v>
      </c>
    </row>
    <row r="174" spans="1:4" x14ac:dyDescent="0.3">
      <c r="A174" s="113" t="s">
        <v>175</v>
      </c>
      <c r="B174" s="40">
        <v>2</v>
      </c>
      <c r="C174" t="s">
        <v>278</v>
      </c>
      <c r="D174" t="e">
        <f>VLOOKUP(A:A,Incidencias!B:B,1,FALSE)</f>
        <v>#N/A</v>
      </c>
    </row>
    <row r="175" spans="1:4" x14ac:dyDescent="0.3">
      <c r="A175" s="113" t="s">
        <v>175</v>
      </c>
      <c r="B175" s="40">
        <v>2</v>
      </c>
      <c r="C175" t="s">
        <v>278</v>
      </c>
      <c r="D175" t="e">
        <f>VLOOKUP(A:A,Incidencias!B:B,1,FALSE)</f>
        <v>#N/A</v>
      </c>
    </row>
    <row r="176" spans="1:4" x14ac:dyDescent="0.3">
      <c r="A176" s="113" t="s">
        <v>175</v>
      </c>
      <c r="B176" s="40">
        <v>2</v>
      </c>
      <c r="C176" t="s">
        <v>278</v>
      </c>
      <c r="D176" t="e">
        <f>VLOOKUP(A:A,Incidencias!B:B,1,FALSE)</f>
        <v>#N/A</v>
      </c>
    </row>
    <row r="177" spans="1:4" x14ac:dyDescent="0.3">
      <c r="A177" s="113" t="s">
        <v>175</v>
      </c>
      <c r="B177" s="40">
        <v>2</v>
      </c>
      <c r="C177" t="s">
        <v>278</v>
      </c>
      <c r="D177" t="e">
        <f>VLOOKUP(A:A,Incidencias!B:B,1,FALSE)</f>
        <v>#N/A</v>
      </c>
    </row>
    <row r="178" spans="1:4" x14ac:dyDescent="0.3">
      <c r="A178" s="113" t="s">
        <v>175</v>
      </c>
      <c r="B178" s="40">
        <v>2</v>
      </c>
      <c r="C178" t="s">
        <v>278</v>
      </c>
      <c r="D178" t="e">
        <f>VLOOKUP(A:A,Incidencias!B:B,1,FALSE)</f>
        <v>#N/A</v>
      </c>
    </row>
    <row r="179" spans="1:4" x14ac:dyDescent="0.3">
      <c r="A179" s="113" t="s">
        <v>175</v>
      </c>
      <c r="B179" s="40">
        <v>2</v>
      </c>
      <c r="C179" t="s">
        <v>278</v>
      </c>
      <c r="D179" t="e">
        <f>VLOOKUP(A:A,Incidencias!B:B,1,FALSE)</f>
        <v>#N/A</v>
      </c>
    </row>
    <row r="180" spans="1:4" x14ac:dyDescent="0.3">
      <c r="A180" s="113" t="s">
        <v>175</v>
      </c>
      <c r="B180" s="112">
        <v>0.5</v>
      </c>
      <c r="C180" t="s">
        <v>278</v>
      </c>
      <c r="D180" t="e">
        <f>VLOOKUP(A:A,Incidencias!B:B,1,FALSE)</f>
        <v>#N/A</v>
      </c>
    </row>
    <row r="181" spans="1:4" x14ac:dyDescent="0.3">
      <c r="A181" s="113" t="s">
        <v>175</v>
      </c>
      <c r="B181" s="40">
        <v>3</v>
      </c>
      <c r="C181" t="s">
        <v>278</v>
      </c>
      <c r="D181" t="e">
        <f>VLOOKUP(A:A,Incidencias!B:B,1,FALSE)</f>
        <v>#N/A</v>
      </c>
    </row>
    <row r="182" spans="1:4" x14ac:dyDescent="0.3">
      <c r="A182" s="40" t="s">
        <v>180</v>
      </c>
      <c r="B182" s="40">
        <v>1</v>
      </c>
      <c r="C182" t="s">
        <v>278</v>
      </c>
      <c r="D182" t="e">
        <f>VLOOKUP(A:A,Incidencias!B:B,1,FALSE)</f>
        <v>#N/A</v>
      </c>
    </row>
    <row r="183" spans="1:4" x14ac:dyDescent="0.3">
      <c r="A183" s="40" t="s">
        <v>180</v>
      </c>
      <c r="B183" s="40">
        <v>2</v>
      </c>
      <c r="C183" t="s">
        <v>278</v>
      </c>
      <c r="D183" t="e">
        <f>VLOOKUP(A:A,Incidencias!B:B,1,FALSE)</f>
        <v>#N/A</v>
      </c>
    </row>
    <row r="184" spans="1:4" x14ac:dyDescent="0.3">
      <c r="A184" s="40" t="s">
        <v>184</v>
      </c>
      <c r="B184" s="40">
        <v>1.5</v>
      </c>
      <c r="C184" t="s">
        <v>278</v>
      </c>
      <c r="D184" t="e">
        <f>VLOOKUP(A:A,Incidencias!B:B,1,FALSE)</f>
        <v>#N/A</v>
      </c>
    </row>
    <row r="185" spans="1:4" x14ac:dyDescent="0.3">
      <c r="A185" s="40" t="s">
        <v>187</v>
      </c>
      <c r="B185" s="40">
        <v>1.5</v>
      </c>
      <c r="C185" t="s">
        <v>278</v>
      </c>
      <c r="D185" t="e">
        <f>VLOOKUP(A:A,Incidencias!B:B,1,FALSE)</f>
        <v>#N/A</v>
      </c>
    </row>
    <row r="186" spans="1:4" x14ac:dyDescent="0.3">
      <c r="A186" s="40" t="s">
        <v>187</v>
      </c>
      <c r="B186" s="40">
        <v>1.5</v>
      </c>
      <c r="C186" t="s">
        <v>278</v>
      </c>
      <c r="D186" t="e">
        <f>VLOOKUP(A:A,Incidencias!B:B,1,FALSE)</f>
        <v>#N/A</v>
      </c>
    </row>
    <row r="187" spans="1:4" x14ac:dyDescent="0.3">
      <c r="A187" s="40" t="s">
        <v>191</v>
      </c>
      <c r="B187" s="40">
        <v>2</v>
      </c>
      <c r="C187" t="s">
        <v>278</v>
      </c>
      <c r="D187" t="e">
        <f>VLOOKUP(A:A,Incidencias!B:B,1,FALSE)</f>
        <v>#N/A</v>
      </c>
    </row>
    <row r="188" spans="1:4" x14ac:dyDescent="0.3">
      <c r="A188" s="40" t="s">
        <v>191</v>
      </c>
      <c r="B188" s="40">
        <v>3</v>
      </c>
      <c r="C188" t="s">
        <v>278</v>
      </c>
      <c r="D188" t="e">
        <f>VLOOKUP(A:A,Incidencias!B:B,1,FALSE)</f>
        <v>#N/A</v>
      </c>
    </row>
    <row r="189" spans="1:4" x14ac:dyDescent="0.3">
      <c r="A189" s="40" t="s">
        <v>194</v>
      </c>
      <c r="B189" s="40">
        <v>4</v>
      </c>
      <c r="C189" t="s">
        <v>278</v>
      </c>
      <c r="D189" t="e">
        <f>VLOOKUP(A:A,Incidencias!B:B,1,FALSE)</f>
        <v>#N/A</v>
      </c>
    </row>
    <row r="190" spans="1:4" x14ac:dyDescent="0.3">
      <c r="A190" s="40" t="s">
        <v>194</v>
      </c>
      <c r="B190" s="40">
        <v>4</v>
      </c>
      <c r="C190" t="s">
        <v>278</v>
      </c>
      <c r="D190" t="e">
        <f>VLOOKUP(A:A,Incidencias!B:B,1,FALSE)</f>
        <v>#N/A</v>
      </c>
    </row>
    <row r="191" spans="1:4" x14ac:dyDescent="0.3">
      <c r="A191" s="40" t="s">
        <v>194</v>
      </c>
      <c r="B191" s="40">
        <v>1</v>
      </c>
      <c r="C191" t="s">
        <v>278</v>
      </c>
      <c r="D191" t="e">
        <f>VLOOKUP(A:A,Incidencias!B:B,1,FALSE)</f>
        <v>#N/A</v>
      </c>
    </row>
    <row r="192" spans="1:4" x14ac:dyDescent="0.3">
      <c r="A192" s="40" t="s">
        <v>194</v>
      </c>
      <c r="B192" s="40">
        <v>4</v>
      </c>
      <c r="C192" t="s">
        <v>278</v>
      </c>
      <c r="D192" t="e">
        <f>VLOOKUP(A:A,Incidencias!B:B,1,FALSE)</f>
        <v>#N/A</v>
      </c>
    </row>
    <row r="193" spans="1:4" x14ac:dyDescent="0.3">
      <c r="A193" t="s">
        <v>194</v>
      </c>
      <c r="B193" s="40">
        <v>4</v>
      </c>
      <c r="C193" t="s">
        <v>278</v>
      </c>
      <c r="D193" t="e">
        <f>VLOOKUP(A:A,Incidencias!B:B,1,FALSE)</f>
        <v>#N/A</v>
      </c>
    </row>
    <row r="194" spans="1:4" x14ac:dyDescent="0.3">
      <c r="A194" t="s">
        <v>194</v>
      </c>
      <c r="B194" s="40">
        <v>4</v>
      </c>
      <c r="C194" t="s">
        <v>278</v>
      </c>
      <c r="D194" t="e">
        <f>VLOOKUP(A:A,Incidencias!B:B,1,FALSE)</f>
        <v>#N/A</v>
      </c>
    </row>
    <row r="195" spans="1:4" x14ac:dyDescent="0.3">
      <c r="A195" t="s">
        <v>194</v>
      </c>
      <c r="B195" s="40">
        <v>4</v>
      </c>
      <c r="C195" t="s">
        <v>278</v>
      </c>
      <c r="D195" t="e">
        <f>VLOOKUP(A:A,Incidencias!B:B,1,FALSE)</f>
        <v>#N/A</v>
      </c>
    </row>
    <row r="196" spans="1:4" x14ac:dyDescent="0.3">
      <c r="A196" t="s">
        <v>194</v>
      </c>
      <c r="B196" s="40">
        <v>4</v>
      </c>
      <c r="C196" t="s">
        <v>278</v>
      </c>
      <c r="D196" t="e">
        <f>VLOOKUP(A:A,Incidencias!B:B,1,FALSE)</f>
        <v>#N/A</v>
      </c>
    </row>
    <row r="197" spans="1:4" x14ac:dyDescent="0.3">
      <c r="A197" s="114" t="s">
        <v>201</v>
      </c>
      <c r="B197" s="40">
        <v>1</v>
      </c>
      <c r="C197" t="s">
        <v>278</v>
      </c>
      <c r="D197" t="e">
        <f>VLOOKUP(A:A,Incidencias!B:B,1,FALSE)</f>
        <v>#N/A</v>
      </c>
    </row>
    <row r="198" spans="1:4" x14ac:dyDescent="0.3">
      <c r="A198" s="114" t="s">
        <v>201</v>
      </c>
      <c r="B198" s="40">
        <v>2.5</v>
      </c>
      <c r="C198" t="s">
        <v>278</v>
      </c>
      <c r="D198" t="e">
        <f>VLOOKUP(A:A,Incidencias!B:B,1,FALSE)</f>
        <v>#N/A</v>
      </c>
    </row>
    <row r="199" spans="1:4" x14ac:dyDescent="0.3">
      <c r="A199" s="114" t="s">
        <v>201</v>
      </c>
      <c r="B199" s="40">
        <v>1</v>
      </c>
      <c r="C199" t="s">
        <v>278</v>
      </c>
      <c r="D199" t="e">
        <f>VLOOKUP(A:A,Incidencias!B:B,1,FALSE)</f>
        <v>#N/A</v>
      </c>
    </row>
    <row r="200" spans="1:4" x14ac:dyDescent="0.3">
      <c r="A200" s="114" t="s">
        <v>201</v>
      </c>
      <c r="B200" s="40">
        <v>4.5</v>
      </c>
      <c r="C200" t="s">
        <v>278</v>
      </c>
      <c r="D200" t="e">
        <f>VLOOKUP(A:A,Incidencias!B:B,1,FALSE)</f>
        <v>#N/A</v>
      </c>
    </row>
    <row r="201" spans="1:4" x14ac:dyDescent="0.3">
      <c r="A201" s="114" t="s">
        <v>201</v>
      </c>
      <c r="B201" s="40">
        <v>3.5</v>
      </c>
      <c r="C201" t="s">
        <v>278</v>
      </c>
      <c r="D201" t="e">
        <f>VLOOKUP(A:A,Incidencias!B:B,1,FALSE)</f>
        <v>#N/A</v>
      </c>
    </row>
    <row r="202" spans="1:4" x14ac:dyDescent="0.3">
      <c r="A202" s="114" t="s">
        <v>201</v>
      </c>
      <c r="B202" s="40">
        <v>3.5</v>
      </c>
      <c r="C202" t="s">
        <v>278</v>
      </c>
      <c r="D202" t="e">
        <f>VLOOKUP(A:A,Incidencias!B:B,1,FALSE)</f>
        <v>#N/A</v>
      </c>
    </row>
    <row r="203" spans="1:4" x14ac:dyDescent="0.3">
      <c r="A203" s="114" t="s">
        <v>201</v>
      </c>
      <c r="B203" s="40">
        <v>1</v>
      </c>
      <c r="C203" t="s">
        <v>278</v>
      </c>
      <c r="D203" t="e">
        <f>VLOOKUP(A:A,Incidencias!B:B,1,FALSE)</f>
        <v>#N/A</v>
      </c>
    </row>
    <row r="204" spans="1:4" x14ac:dyDescent="0.3">
      <c r="A204" s="114" t="s">
        <v>280</v>
      </c>
      <c r="B204" s="39">
        <v>4</v>
      </c>
      <c r="C204" t="s">
        <v>278</v>
      </c>
      <c r="D204" t="e">
        <f>VLOOKUP(A:A,Incidencias!B:B,1,FALSE)</f>
        <v>#N/A</v>
      </c>
    </row>
    <row r="205" spans="1:4" x14ac:dyDescent="0.3">
      <c r="A205" s="114" t="s">
        <v>280</v>
      </c>
      <c r="B205" s="40">
        <v>4</v>
      </c>
      <c r="C205" t="s">
        <v>278</v>
      </c>
      <c r="D205" t="e">
        <f>VLOOKUP(A:A,Incidencias!B:B,1,FALSE)</f>
        <v>#N/A</v>
      </c>
    </row>
    <row r="206" spans="1:4" x14ac:dyDescent="0.3">
      <c r="A206" s="115" t="s">
        <v>280</v>
      </c>
      <c r="B206" s="40">
        <v>4</v>
      </c>
      <c r="C206" t="s">
        <v>278</v>
      </c>
      <c r="D206" t="e">
        <f>VLOOKUP(A:A,Incidencias!B:B,1,FALSE)</f>
        <v>#N/A</v>
      </c>
    </row>
    <row r="207" spans="1:4" x14ac:dyDescent="0.3">
      <c r="A207" s="114" t="s">
        <v>280</v>
      </c>
      <c r="B207" s="39">
        <v>4</v>
      </c>
      <c r="C207" t="s">
        <v>278</v>
      </c>
      <c r="D207" t="e">
        <f>VLOOKUP(A:A,Incidencias!B:B,1,FALSE)</f>
        <v>#N/A</v>
      </c>
    </row>
    <row r="208" spans="1:4" x14ac:dyDescent="0.3">
      <c r="A208" s="114" t="s">
        <v>280</v>
      </c>
      <c r="B208" s="40">
        <v>4</v>
      </c>
      <c r="C208" t="s">
        <v>278</v>
      </c>
      <c r="D208" t="e">
        <f>VLOOKUP(A:A,Incidencias!B:B,1,FALSE)</f>
        <v>#N/A</v>
      </c>
    </row>
    <row r="209" spans="1:4" x14ac:dyDescent="0.3">
      <c r="A209" s="114" t="s">
        <v>280</v>
      </c>
      <c r="B209" s="40">
        <v>0.5</v>
      </c>
      <c r="C209" t="s">
        <v>278</v>
      </c>
      <c r="D209" t="e">
        <f>VLOOKUP(A:A,Incidencias!B:B,1,FALSE)</f>
        <v>#N/A</v>
      </c>
    </row>
    <row r="210" spans="1:4" x14ac:dyDescent="0.3">
      <c r="A210" t="s">
        <v>280</v>
      </c>
      <c r="B210" s="40">
        <v>2</v>
      </c>
      <c r="C210" t="s">
        <v>278</v>
      </c>
      <c r="D210" t="e">
        <f>VLOOKUP(A:A,Incidencias!B:B,1,FALSE)</f>
        <v>#N/A</v>
      </c>
    </row>
    <row r="211" spans="1:4" x14ac:dyDescent="0.3">
      <c r="A211" s="114" t="s">
        <v>204</v>
      </c>
      <c r="B211" s="40">
        <v>0.5</v>
      </c>
      <c r="C211" t="s">
        <v>278</v>
      </c>
      <c r="D211" t="e">
        <f>VLOOKUP(A:A,Incidencias!B:B,1,FALSE)</f>
        <v>#N/A</v>
      </c>
    </row>
    <row r="212" spans="1:4" x14ac:dyDescent="0.3">
      <c r="A212" s="114" t="s">
        <v>204</v>
      </c>
      <c r="B212" s="40">
        <v>1</v>
      </c>
      <c r="C212" t="s">
        <v>278</v>
      </c>
      <c r="D212" t="e">
        <f>VLOOKUP(A:A,Incidencias!B:B,1,FALSE)</f>
        <v>#N/A</v>
      </c>
    </row>
    <row r="213" spans="1:4" x14ac:dyDescent="0.3">
      <c r="A213" s="114" t="s">
        <v>204</v>
      </c>
      <c r="B213" s="40">
        <v>1</v>
      </c>
      <c r="C213" t="s">
        <v>278</v>
      </c>
      <c r="D213" t="e">
        <f>VLOOKUP(A:A,Incidencias!B:B,1,FALSE)</f>
        <v>#N/A</v>
      </c>
    </row>
    <row r="214" spans="1:4" x14ac:dyDescent="0.3">
      <c r="A214" s="114" t="s">
        <v>204</v>
      </c>
      <c r="B214" s="40">
        <v>1</v>
      </c>
      <c r="C214" t="s">
        <v>278</v>
      </c>
      <c r="D214" t="e">
        <f>VLOOKUP(A:A,Incidencias!B:B,1,FALSE)</f>
        <v>#N/A</v>
      </c>
    </row>
    <row r="215" spans="1:4" x14ac:dyDescent="0.3">
      <c r="A215" t="s">
        <v>204</v>
      </c>
      <c r="B215" s="40">
        <v>1</v>
      </c>
      <c r="C215" t="s">
        <v>278</v>
      </c>
      <c r="D215" t="e">
        <f>VLOOKUP(A:A,Incidencias!B:B,1,FALSE)</f>
        <v>#N/A</v>
      </c>
    </row>
    <row r="216" spans="1:4" x14ac:dyDescent="0.3">
      <c r="A216" s="114" t="s">
        <v>206</v>
      </c>
      <c r="B216" s="40">
        <v>1</v>
      </c>
      <c r="C216" t="s">
        <v>278</v>
      </c>
      <c r="D216" t="e">
        <f>VLOOKUP(A:A,Incidencias!B:B,1,FALSE)</f>
        <v>#N/A</v>
      </c>
    </row>
    <row r="217" spans="1:4" x14ac:dyDescent="0.3">
      <c r="A217" s="114" t="s">
        <v>206</v>
      </c>
      <c r="B217" s="40">
        <v>2</v>
      </c>
      <c r="C217" t="s">
        <v>278</v>
      </c>
      <c r="D217" t="e">
        <f>VLOOKUP(A:A,Incidencias!B:B,1,FALSE)</f>
        <v>#N/A</v>
      </c>
    </row>
    <row r="218" spans="1:4" x14ac:dyDescent="0.3">
      <c r="A218" s="114" t="s">
        <v>206</v>
      </c>
      <c r="B218" s="40">
        <v>1.5</v>
      </c>
      <c r="C218" t="s">
        <v>278</v>
      </c>
      <c r="D218" t="e">
        <f>VLOOKUP(A:A,Incidencias!B:B,1,FALSE)</f>
        <v>#N/A</v>
      </c>
    </row>
    <row r="219" spans="1:4" x14ac:dyDescent="0.3">
      <c r="A219" t="s">
        <v>206</v>
      </c>
      <c r="B219" s="40">
        <v>3</v>
      </c>
      <c r="C219" t="s">
        <v>278</v>
      </c>
      <c r="D219" t="e">
        <f>VLOOKUP(A:A,Incidencias!B:B,1,FALSE)</f>
        <v>#N/A</v>
      </c>
    </row>
    <row r="220" spans="1:4" x14ac:dyDescent="0.3">
      <c r="A220" t="s">
        <v>206</v>
      </c>
      <c r="B220" s="40">
        <v>0.5</v>
      </c>
      <c r="C220" t="s">
        <v>278</v>
      </c>
      <c r="D220" t="e">
        <f>VLOOKUP(A:A,Incidencias!B:B,1,FALSE)</f>
        <v>#N/A</v>
      </c>
    </row>
    <row r="221" spans="1:4" x14ac:dyDescent="0.3">
      <c r="A221" s="114" t="s">
        <v>210</v>
      </c>
      <c r="B221" s="40">
        <v>1</v>
      </c>
      <c r="C221" t="s">
        <v>278</v>
      </c>
      <c r="D221" t="e">
        <f>VLOOKUP(A:A,Incidencias!B:B,1,FALSE)</f>
        <v>#N/A</v>
      </c>
    </row>
    <row r="222" spans="1:4" x14ac:dyDescent="0.3">
      <c r="A222" s="114" t="s">
        <v>281</v>
      </c>
      <c r="B222" s="40">
        <v>1</v>
      </c>
      <c r="C222" t="s">
        <v>278</v>
      </c>
      <c r="D222" t="e">
        <f>VLOOKUP(A:A,Incidencias!B:B,1,FALSE)</f>
        <v>#N/A</v>
      </c>
    </row>
    <row r="223" spans="1:4" x14ac:dyDescent="0.3">
      <c r="A223" t="s">
        <v>281</v>
      </c>
      <c r="B223" s="40">
        <v>0.5</v>
      </c>
      <c r="C223" t="s">
        <v>278</v>
      </c>
      <c r="D223" t="e">
        <f>VLOOKUP(A:A,Incidencias!B:B,1,FALSE)</f>
        <v>#N/A</v>
      </c>
    </row>
    <row r="224" spans="1:4" x14ac:dyDescent="0.3">
      <c r="A224" t="s">
        <v>281</v>
      </c>
      <c r="B224" s="40">
        <v>1</v>
      </c>
      <c r="C224" t="s">
        <v>278</v>
      </c>
      <c r="D224" t="e">
        <f>VLOOKUP(A:A,Incidencias!B:B,1,FALSE)</f>
        <v>#N/A</v>
      </c>
    </row>
    <row r="225" spans="1:4" x14ac:dyDescent="0.3">
      <c r="A225" s="114" t="s">
        <v>282</v>
      </c>
      <c r="B225" s="40">
        <v>3.5</v>
      </c>
      <c r="C225" t="s">
        <v>278</v>
      </c>
      <c r="D225" t="e">
        <f>VLOOKUP(A:A,Incidencias!B:B,1,FALSE)</f>
        <v>#N/A</v>
      </c>
    </row>
    <row r="226" spans="1:4" x14ac:dyDescent="0.3">
      <c r="A226" s="114" t="s">
        <v>282</v>
      </c>
      <c r="B226" s="40">
        <v>1</v>
      </c>
      <c r="C226" t="s">
        <v>278</v>
      </c>
      <c r="D226" t="e">
        <f>VLOOKUP(A:A,Incidencias!B:B,1,FALSE)</f>
        <v>#N/A</v>
      </c>
    </row>
    <row r="227" spans="1:4" x14ac:dyDescent="0.3">
      <c r="A227" s="114" t="s">
        <v>282</v>
      </c>
      <c r="B227" s="40">
        <v>1</v>
      </c>
      <c r="C227" t="s">
        <v>278</v>
      </c>
      <c r="D227" t="e">
        <f>VLOOKUP(A:A,Incidencias!B:B,1,FALSE)</f>
        <v>#N/A</v>
      </c>
    </row>
    <row r="228" spans="1:4" x14ac:dyDescent="0.3">
      <c r="A228" s="114" t="s">
        <v>214</v>
      </c>
      <c r="B228" s="40">
        <v>4</v>
      </c>
      <c r="C228" t="s">
        <v>278</v>
      </c>
      <c r="D228" t="e">
        <f>VLOOKUP(A:A,Incidencias!B:B,1,FALSE)</f>
        <v>#N/A</v>
      </c>
    </row>
    <row r="229" spans="1:4" x14ac:dyDescent="0.3">
      <c r="A229" s="114" t="s">
        <v>214</v>
      </c>
      <c r="B229" s="40">
        <v>1</v>
      </c>
      <c r="C229" t="s">
        <v>278</v>
      </c>
      <c r="D229" t="e">
        <f>VLOOKUP(A:A,Incidencias!B:B,1,FALSE)</f>
        <v>#N/A</v>
      </c>
    </row>
    <row r="230" spans="1:4" x14ac:dyDescent="0.3">
      <c r="A230" t="s">
        <v>283</v>
      </c>
      <c r="B230" s="40">
        <v>2</v>
      </c>
      <c r="C230" t="s">
        <v>278</v>
      </c>
      <c r="D230" t="e">
        <f>VLOOKUP(A:A,Incidencias!B:B,1,FALSE)</f>
        <v>#N/A</v>
      </c>
    </row>
    <row r="231" spans="1:4" x14ac:dyDescent="0.3">
      <c r="A231" s="114" t="s">
        <v>221</v>
      </c>
      <c r="B231" s="40">
        <v>1</v>
      </c>
      <c r="C231" t="s">
        <v>278</v>
      </c>
      <c r="D231" t="e">
        <f>VLOOKUP(A:A,Incidencias!B:B,1,FALSE)</f>
        <v>#N/A</v>
      </c>
    </row>
    <row r="232" spans="1:4" x14ac:dyDescent="0.3">
      <c r="A232" s="114" t="s">
        <v>221</v>
      </c>
      <c r="B232" s="40">
        <v>2</v>
      </c>
      <c r="C232" t="s">
        <v>278</v>
      </c>
      <c r="D232" t="e">
        <f>VLOOKUP(A:A,Incidencias!B:B,1,FALSE)</f>
        <v>#N/A</v>
      </c>
    </row>
    <row r="233" spans="1:4" x14ac:dyDescent="0.3">
      <c r="A233" s="114" t="s">
        <v>284</v>
      </c>
      <c r="B233" s="40">
        <v>1</v>
      </c>
      <c r="C233" t="s">
        <v>278</v>
      </c>
      <c r="D233" t="e">
        <f>VLOOKUP(A:A,Incidencias!B:B,1,FALSE)</f>
        <v>#N/A</v>
      </c>
    </row>
    <row r="234" spans="1:4" x14ac:dyDescent="0.3">
      <c r="A234" s="114" t="s">
        <v>284</v>
      </c>
      <c r="B234" s="40">
        <v>1</v>
      </c>
      <c r="C234" t="s">
        <v>278</v>
      </c>
      <c r="D234" t="e">
        <f>VLOOKUP(A:A,Incidencias!B:B,1,FALSE)</f>
        <v>#N/A</v>
      </c>
    </row>
    <row r="235" spans="1:4" x14ac:dyDescent="0.3">
      <c r="A235" s="114" t="s">
        <v>285</v>
      </c>
      <c r="B235" s="40">
        <v>1</v>
      </c>
      <c r="C235" t="s">
        <v>278</v>
      </c>
      <c r="D235" t="e">
        <f>VLOOKUP(A:A,Incidencias!B:B,1,FALSE)</f>
        <v>#N/A</v>
      </c>
    </row>
    <row r="236" spans="1:4" x14ac:dyDescent="0.3">
      <c r="A236" s="114" t="s">
        <v>223</v>
      </c>
      <c r="B236" s="40">
        <v>1</v>
      </c>
      <c r="C236" t="s">
        <v>278</v>
      </c>
      <c r="D236" t="e">
        <f>VLOOKUP(A:A,Incidencias!B:B,1,FALSE)</f>
        <v>#N/A</v>
      </c>
    </row>
    <row r="237" spans="1:4" x14ac:dyDescent="0.3">
      <c r="A237" s="114" t="s">
        <v>223</v>
      </c>
      <c r="B237" s="40">
        <v>1.5</v>
      </c>
      <c r="C237" t="s">
        <v>278</v>
      </c>
      <c r="D237" t="e">
        <f>VLOOKUP(A:A,Incidencias!B:B,1,FALSE)</f>
        <v>#N/A</v>
      </c>
    </row>
    <row r="238" spans="1:4" x14ac:dyDescent="0.3">
      <c r="A238" t="s">
        <v>223</v>
      </c>
      <c r="B238" s="40">
        <v>0.5</v>
      </c>
      <c r="C238" t="s">
        <v>278</v>
      </c>
      <c r="D238" t="e">
        <f>VLOOKUP(A:A,Incidencias!B:B,1,FALSE)</f>
        <v>#N/A</v>
      </c>
    </row>
    <row r="239" spans="1:4" x14ac:dyDescent="0.3">
      <c r="A239" s="114" t="s">
        <v>228</v>
      </c>
      <c r="B239" s="40">
        <v>1</v>
      </c>
      <c r="C239" t="s">
        <v>278</v>
      </c>
      <c r="D239" t="e">
        <f>VLOOKUP(A:A,Incidencias!B:B,1,FALSE)</f>
        <v>#N/A</v>
      </c>
    </row>
    <row r="240" spans="1:4" x14ac:dyDescent="0.3">
      <c r="A240" t="s">
        <v>228</v>
      </c>
      <c r="B240" s="40">
        <v>1</v>
      </c>
      <c r="C240" t="s">
        <v>278</v>
      </c>
      <c r="D240" t="e">
        <f>VLOOKUP(A:A,Incidencias!B:B,1,FALSE)</f>
        <v>#N/A</v>
      </c>
    </row>
    <row r="241" spans="1:4" x14ac:dyDescent="0.3">
      <c r="A241" t="s">
        <v>228</v>
      </c>
      <c r="B241" s="40">
        <v>1</v>
      </c>
      <c r="C241" t="s">
        <v>278</v>
      </c>
      <c r="D241" t="e">
        <f>VLOOKUP(A:A,Incidencias!B:B,1,FALSE)</f>
        <v>#N/A</v>
      </c>
    </row>
    <row r="242" spans="1:4" x14ac:dyDescent="0.3">
      <c r="A242" t="s">
        <v>228</v>
      </c>
      <c r="B242" s="40">
        <v>1.5</v>
      </c>
      <c r="C242" t="s">
        <v>278</v>
      </c>
      <c r="D242" t="e">
        <f>VLOOKUP(A:A,Incidencias!B:B,1,FALSE)</f>
        <v>#N/A</v>
      </c>
    </row>
    <row r="243" spans="1:4" x14ac:dyDescent="0.3">
      <c r="A243" t="s">
        <v>228</v>
      </c>
      <c r="B243" s="40">
        <v>3.5</v>
      </c>
      <c r="C243" t="s">
        <v>278</v>
      </c>
      <c r="D243" t="e">
        <f>VLOOKUP(A:A,Incidencias!B:B,1,FALSE)</f>
        <v>#N/A</v>
      </c>
    </row>
    <row r="244" spans="1:4" x14ac:dyDescent="0.3">
      <c r="A244" t="s">
        <v>231</v>
      </c>
      <c r="B244" s="40">
        <v>1</v>
      </c>
      <c r="C244" t="s">
        <v>278</v>
      </c>
      <c r="D244" t="e">
        <f>VLOOKUP(A:A,Incidencias!B:B,1,FALSE)</f>
        <v>#N/A</v>
      </c>
    </row>
    <row r="245" spans="1:4" x14ac:dyDescent="0.3">
      <c r="A245" s="114" t="s">
        <v>286</v>
      </c>
      <c r="B245" s="40">
        <v>0.5</v>
      </c>
      <c r="C245" t="s">
        <v>278</v>
      </c>
      <c r="D245" t="e">
        <f>VLOOKUP(A:A,Incidencias!B:B,1,FALSE)</f>
        <v>#N/A</v>
      </c>
    </row>
    <row r="246" spans="1:4" x14ac:dyDescent="0.3">
      <c r="A246" s="114" t="s">
        <v>287</v>
      </c>
      <c r="B246" s="40">
        <v>0.5</v>
      </c>
      <c r="C246" t="s">
        <v>278</v>
      </c>
      <c r="D246" t="e">
        <f>VLOOKUP(A:A,Incidencias!B:B,1,FALSE)</f>
        <v>#N/A</v>
      </c>
    </row>
    <row r="247" spans="1:4" x14ac:dyDescent="0.3">
      <c r="A247" s="114" t="s">
        <v>288</v>
      </c>
      <c r="B247" s="40">
        <v>0.5</v>
      </c>
      <c r="C247" t="s">
        <v>278</v>
      </c>
      <c r="D247" t="e">
        <f>VLOOKUP(A:A,Incidencias!B:B,1,FALSE)</f>
        <v>#N/A</v>
      </c>
    </row>
    <row r="248" spans="1:4" x14ac:dyDescent="0.3">
      <c r="A248" s="114" t="s">
        <v>289</v>
      </c>
      <c r="B248" s="40">
        <v>1</v>
      </c>
      <c r="C248" t="s">
        <v>278</v>
      </c>
      <c r="D248" t="e">
        <f>VLOOKUP(A:A,Incidencias!B:B,1,FALSE)</f>
        <v>#N/A</v>
      </c>
    </row>
    <row r="249" spans="1:4" x14ac:dyDescent="0.3">
      <c r="A249" t="s">
        <v>289</v>
      </c>
      <c r="B249" s="40">
        <v>1</v>
      </c>
      <c r="C249" t="s">
        <v>278</v>
      </c>
      <c r="D249" t="e">
        <f>VLOOKUP(A:A,Incidencias!B:B,1,FALSE)</f>
        <v>#N/A</v>
      </c>
    </row>
    <row r="250" spans="1:4" x14ac:dyDescent="0.3">
      <c r="A250" t="s">
        <v>289</v>
      </c>
      <c r="B250" s="40">
        <v>2</v>
      </c>
      <c r="C250" t="s">
        <v>278</v>
      </c>
      <c r="D250" t="e">
        <f>VLOOKUP(A:A,Incidencias!B:B,1,FALSE)</f>
        <v>#N/A</v>
      </c>
    </row>
    <row r="251" spans="1:4" x14ac:dyDescent="0.3">
      <c r="A251" s="114" t="s">
        <v>290</v>
      </c>
      <c r="B251" s="40">
        <v>1</v>
      </c>
      <c r="C251" t="s">
        <v>278</v>
      </c>
      <c r="D251" t="e">
        <f>VLOOKUP(A:A,Incidencias!B:B,1,FALSE)</f>
        <v>#N/A</v>
      </c>
    </row>
    <row r="252" spans="1:4" x14ac:dyDescent="0.3">
      <c r="A252" s="114" t="s">
        <v>291</v>
      </c>
      <c r="B252" s="40">
        <v>2</v>
      </c>
      <c r="C252" t="s">
        <v>278</v>
      </c>
      <c r="D252" t="e">
        <f>VLOOKUP(A:A,Incidencias!B:B,1,FALSE)</f>
        <v>#N/A</v>
      </c>
    </row>
    <row r="253" spans="1:4" x14ac:dyDescent="0.3">
      <c r="A253" s="114" t="s">
        <v>291</v>
      </c>
      <c r="B253" s="40">
        <v>1.5</v>
      </c>
      <c r="C253" t="s">
        <v>278</v>
      </c>
      <c r="D253" t="e">
        <f>VLOOKUP(A:A,Incidencias!B:B,1,FALSE)</f>
        <v>#N/A</v>
      </c>
    </row>
    <row r="254" spans="1:4" x14ac:dyDescent="0.3">
      <c r="A254" s="114" t="s">
        <v>291</v>
      </c>
      <c r="B254" s="40">
        <v>1.5</v>
      </c>
      <c r="C254" t="s">
        <v>278</v>
      </c>
      <c r="D254" t="e">
        <f>VLOOKUP(A:A,Incidencias!B:B,1,FALSE)</f>
        <v>#N/A</v>
      </c>
    </row>
    <row r="255" spans="1:4" x14ac:dyDescent="0.3">
      <c r="A255" s="114" t="s">
        <v>248</v>
      </c>
      <c r="B255" s="40">
        <v>0.5</v>
      </c>
      <c r="C255" t="s">
        <v>278</v>
      </c>
      <c r="D255" t="e">
        <f>VLOOKUP(A:A,Incidencias!B:B,1,FALSE)</f>
        <v>#N/A</v>
      </c>
    </row>
    <row r="256" spans="1:4" x14ac:dyDescent="0.3">
      <c r="A256" s="114" t="s">
        <v>250</v>
      </c>
      <c r="B256" s="40">
        <v>0.5</v>
      </c>
      <c r="C256" t="s">
        <v>278</v>
      </c>
      <c r="D256" t="e">
        <f>VLOOKUP(A:A,Incidencias!B:B,1,FALSE)</f>
        <v>#N/A</v>
      </c>
    </row>
    <row r="257" spans="1:4" x14ac:dyDescent="0.3">
      <c r="A257" s="114" t="s">
        <v>292</v>
      </c>
      <c r="B257" s="40">
        <v>1</v>
      </c>
      <c r="C257" t="s">
        <v>278</v>
      </c>
      <c r="D257" t="e">
        <f>VLOOKUP(A:A,Incidencias!B:B,1,FALSE)</f>
        <v>#N/A</v>
      </c>
    </row>
    <row r="258" spans="1:4" x14ac:dyDescent="0.3">
      <c r="A258" t="s">
        <v>292</v>
      </c>
      <c r="B258" s="40">
        <v>1</v>
      </c>
      <c r="C258" t="s">
        <v>278</v>
      </c>
      <c r="D258" t="e">
        <f>VLOOKUP(A:A,Incidencias!B:B,1,FALSE)</f>
        <v>#N/A</v>
      </c>
    </row>
    <row r="259" spans="1:4" x14ac:dyDescent="0.3">
      <c r="A259" s="114" t="s">
        <v>253</v>
      </c>
      <c r="B259" s="40">
        <v>1</v>
      </c>
      <c r="C259" t="s">
        <v>278</v>
      </c>
      <c r="D259" t="e">
        <f>VLOOKUP(A:A,Incidencias!B:B,1,FALSE)</f>
        <v>#N/A</v>
      </c>
    </row>
    <row r="260" spans="1:4" x14ac:dyDescent="0.3">
      <c r="A260" t="s">
        <v>253</v>
      </c>
      <c r="B260" s="40">
        <v>3.5</v>
      </c>
      <c r="C260" t="s">
        <v>278</v>
      </c>
      <c r="D260" t="e">
        <f>VLOOKUP(A:A,Incidencias!B:B,1,FALSE)</f>
        <v>#N/A</v>
      </c>
    </row>
    <row r="261" spans="1:4" x14ac:dyDescent="0.3">
      <c r="A261" t="s">
        <v>253</v>
      </c>
      <c r="B261" s="40">
        <v>1</v>
      </c>
      <c r="C261" t="s">
        <v>278</v>
      </c>
      <c r="D261" t="e">
        <f>VLOOKUP(A:A,Incidencias!B:B,1,FALSE)</f>
        <v>#N/A</v>
      </c>
    </row>
    <row r="262" spans="1:4" x14ac:dyDescent="0.3">
      <c r="A262" s="114" t="s">
        <v>293</v>
      </c>
      <c r="B262" s="40">
        <v>0.5</v>
      </c>
      <c r="C262" t="s">
        <v>278</v>
      </c>
      <c r="D262" t="e">
        <f>VLOOKUP(A:A,Incidencias!B:B,1,FALSE)</f>
        <v>#N/A</v>
      </c>
    </row>
    <row r="263" spans="1:4" x14ac:dyDescent="0.3">
      <c r="A263" s="114" t="s">
        <v>294</v>
      </c>
      <c r="B263" s="40">
        <v>1</v>
      </c>
      <c r="C263" t="s">
        <v>278</v>
      </c>
      <c r="D263" t="e">
        <f>VLOOKUP(A:A,Incidencias!B:B,1,FALSE)</f>
        <v>#N/A</v>
      </c>
    </row>
    <row r="264" spans="1:4" x14ac:dyDescent="0.3">
      <c r="A264" s="114" t="s">
        <v>294</v>
      </c>
      <c r="B264" s="40">
        <v>0.5</v>
      </c>
      <c r="C264" t="s">
        <v>278</v>
      </c>
      <c r="D264" t="e">
        <f>VLOOKUP(A:A,Incidencias!B:B,1,FALSE)</f>
        <v>#N/A</v>
      </c>
    </row>
    <row r="265" spans="1:4" x14ac:dyDescent="0.3">
      <c r="A265" t="s">
        <v>257</v>
      </c>
      <c r="B265" s="40">
        <v>1</v>
      </c>
      <c r="C265" t="s">
        <v>278</v>
      </c>
      <c r="D265" t="e">
        <f>VLOOKUP(A:A,Incidencias!B:B,1,FALSE)</f>
        <v>#N/A</v>
      </c>
    </row>
    <row r="266" spans="1:4" x14ac:dyDescent="0.3">
      <c r="A266" s="114" t="s">
        <v>259</v>
      </c>
      <c r="B266" s="40">
        <v>1.5</v>
      </c>
      <c r="C266" t="s">
        <v>278</v>
      </c>
      <c r="D266" t="e">
        <f>VLOOKUP(A:A,Incidencias!B:B,1,FALSE)</f>
        <v>#N/A</v>
      </c>
    </row>
    <row r="267" spans="1:4" x14ac:dyDescent="0.3">
      <c r="A267" t="s">
        <v>261</v>
      </c>
      <c r="B267" s="40">
        <v>3</v>
      </c>
      <c r="C267" t="s">
        <v>278</v>
      </c>
      <c r="D267" t="e">
        <f>VLOOKUP(A:A,Incidencias!B:B,1,FALSE)</f>
        <v>#N/A</v>
      </c>
    </row>
    <row r="268" spans="1:4" x14ac:dyDescent="0.3">
      <c r="A268" t="s">
        <v>261</v>
      </c>
      <c r="B268" s="40">
        <v>2.5</v>
      </c>
      <c r="C268" t="s">
        <v>278</v>
      </c>
      <c r="D268" t="e">
        <f>VLOOKUP(A:A,Incidencias!B:B,1,FALSE)</f>
        <v>#N/A</v>
      </c>
    </row>
    <row r="269" spans="1:4" x14ac:dyDescent="0.3">
      <c r="A269" t="s">
        <v>266</v>
      </c>
      <c r="B269" s="40">
        <v>1</v>
      </c>
      <c r="C269" t="s">
        <v>278</v>
      </c>
      <c r="D269" t="e">
        <f>VLOOKUP(A:A,Incidencias!B:B,1,FALSE)</f>
        <v>#N/A</v>
      </c>
    </row>
    <row r="270" spans="1:4" x14ac:dyDescent="0.3">
      <c r="A270" t="s">
        <v>269</v>
      </c>
      <c r="B270" s="40">
        <v>0.5</v>
      </c>
      <c r="C270" t="s">
        <v>278</v>
      </c>
      <c r="D270" t="e">
        <f>VLOOKUP(A:A,Incidencias!B:B,1,FALSE)</f>
        <v>#N/A</v>
      </c>
    </row>
    <row r="271" spans="1:4" x14ac:dyDescent="0.3">
      <c r="A271" t="s">
        <v>269</v>
      </c>
      <c r="B271" s="40">
        <v>1</v>
      </c>
      <c r="C271" t="s">
        <v>278</v>
      </c>
      <c r="D271" t="e">
        <f>VLOOKUP(A:A,Incidencias!B:B,1,FALSE)</f>
        <v>#N/A</v>
      </c>
    </row>
    <row r="272" spans="1:4" x14ac:dyDescent="0.3">
      <c r="A272" t="s">
        <v>269</v>
      </c>
      <c r="B272" s="40">
        <v>1</v>
      </c>
      <c r="C272" t="s">
        <v>278</v>
      </c>
      <c r="D272" t="e">
        <f>VLOOKUP(A:A,Incidencias!B:B,1,FALSE)</f>
        <v>#N/A</v>
      </c>
    </row>
    <row r="273" spans="1:4" x14ac:dyDescent="0.3">
      <c r="A273" t="s">
        <v>269</v>
      </c>
      <c r="B273" s="40">
        <v>1</v>
      </c>
      <c r="C273" t="s">
        <v>278</v>
      </c>
      <c r="D273" t="e">
        <f>VLOOKUP(A:A,Incidencias!B:B,1,FALSE)</f>
        <v>#N/A</v>
      </c>
    </row>
    <row r="274" spans="1:4" x14ac:dyDescent="0.3">
      <c r="A274" t="s">
        <v>272</v>
      </c>
      <c r="B274" s="40">
        <v>2</v>
      </c>
      <c r="C274" t="s">
        <v>278</v>
      </c>
      <c r="D274" t="e">
        <f>VLOOKUP(A:A,Incidencias!B:B,1,FALSE)</f>
        <v>#N/A</v>
      </c>
    </row>
    <row r="275" spans="1:4" x14ac:dyDescent="0.3">
      <c r="A275" t="s">
        <v>295</v>
      </c>
      <c r="B275" s="40">
        <v>0.5</v>
      </c>
      <c r="C275" t="s">
        <v>278</v>
      </c>
      <c r="D275" t="e">
        <f>VLOOKUP(A:A,Incidencias!B:B,1,FALSE)</f>
        <v>#N/A</v>
      </c>
    </row>
    <row r="276" spans="1:4" x14ac:dyDescent="0.3">
      <c r="A276" t="s">
        <v>296</v>
      </c>
      <c r="B276" s="40">
        <v>1.5</v>
      </c>
      <c r="C276" t="s">
        <v>278</v>
      </c>
      <c r="D276" t="e">
        <f>VLOOKUP(A:A,Incidencias!B:B,1,FALSE)</f>
        <v>#N/A</v>
      </c>
    </row>
    <row r="277" spans="1:4" x14ac:dyDescent="0.3">
      <c r="A277" t="s">
        <v>297</v>
      </c>
      <c r="B277" s="40">
        <v>1.5</v>
      </c>
      <c r="C277" t="s">
        <v>278</v>
      </c>
      <c r="D277" t="e">
        <f>VLOOKUP(A:A,Incidencias!B:B,1,FALSE)</f>
        <v>#N/A</v>
      </c>
    </row>
    <row r="278" spans="1:4" x14ac:dyDescent="0.3">
      <c r="A278" t="s">
        <v>298</v>
      </c>
      <c r="B278" s="40">
        <v>2</v>
      </c>
      <c r="C278" t="s">
        <v>278</v>
      </c>
      <c r="D278" t="e">
        <f>VLOOKUP(A:A,Incidencias!B:B,1,FALSE)</f>
        <v>#N/A</v>
      </c>
    </row>
    <row r="279" spans="1:4" x14ac:dyDescent="0.3">
      <c r="A279" t="s">
        <v>299</v>
      </c>
      <c r="B279" s="40">
        <v>1</v>
      </c>
      <c r="C279" t="s">
        <v>278</v>
      </c>
      <c r="D279" t="e">
        <f>VLOOKUP(A:A,Incidencias!B:B,1,FALSE)</f>
        <v>#N/A</v>
      </c>
    </row>
    <row r="280" spans="1:4" x14ac:dyDescent="0.3">
      <c r="A280" s="145" t="s">
        <v>194</v>
      </c>
      <c r="B280" s="40">
        <v>4</v>
      </c>
      <c r="C280" t="s">
        <v>300</v>
      </c>
      <c r="D280" t="e">
        <f>VLOOKUP(A:A,Incidencias!B:B,1,FALSE)</f>
        <v>#N/A</v>
      </c>
    </row>
    <row r="281" spans="1:4" x14ac:dyDescent="0.3">
      <c r="A281" s="145" t="s">
        <v>194</v>
      </c>
      <c r="B281" s="40">
        <v>8</v>
      </c>
      <c r="C281" t="s">
        <v>300</v>
      </c>
      <c r="D281" t="e">
        <f>VLOOKUP(A:A,Incidencias!B:B,1,FALSE)</f>
        <v>#N/A</v>
      </c>
    </row>
    <row r="282" spans="1:4" x14ac:dyDescent="0.3">
      <c r="A282" s="145" t="s">
        <v>194</v>
      </c>
      <c r="B282" s="39">
        <v>4</v>
      </c>
      <c r="C282" t="s">
        <v>300</v>
      </c>
      <c r="D282" t="e">
        <f>VLOOKUP(A:A,Incidencias!B:B,1,FALSE)</f>
        <v>#N/A</v>
      </c>
    </row>
    <row r="283" spans="1:4" x14ac:dyDescent="0.3">
      <c r="A283" s="145" t="s">
        <v>277</v>
      </c>
      <c r="B283" s="40">
        <v>2</v>
      </c>
      <c r="C283" t="s">
        <v>300</v>
      </c>
      <c r="D283" t="e">
        <f>VLOOKUP(A:A,Incidencias!B:B,1,FALSE)</f>
        <v>#N/A</v>
      </c>
    </row>
    <row r="284" spans="1:4" x14ac:dyDescent="0.3">
      <c r="A284" s="145" t="s">
        <v>301</v>
      </c>
      <c r="B284" s="40">
        <v>3</v>
      </c>
      <c r="C284" t="s">
        <v>300</v>
      </c>
      <c r="D284" t="e">
        <f>VLOOKUP(A:A,Incidencias!B:B,1,FALSE)</f>
        <v>#N/A</v>
      </c>
    </row>
    <row r="285" spans="1:4" x14ac:dyDescent="0.3">
      <c r="A285" s="145" t="s">
        <v>277</v>
      </c>
      <c r="B285" s="40">
        <v>3</v>
      </c>
      <c r="C285" t="s">
        <v>300</v>
      </c>
      <c r="D285" t="e">
        <f>VLOOKUP(A:A,Incidencias!B:B,1,FALSE)</f>
        <v>#N/A</v>
      </c>
    </row>
    <row r="286" spans="1:4" x14ac:dyDescent="0.3">
      <c r="A286" s="145" t="s">
        <v>302</v>
      </c>
      <c r="B286" s="40">
        <v>3</v>
      </c>
      <c r="C286" t="s">
        <v>300</v>
      </c>
      <c r="D286" t="e">
        <f>VLOOKUP(A:A,Incidencias!B:B,1,FALSE)</f>
        <v>#N/A</v>
      </c>
    </row>
    <row r="287" spans="1:4" x14ac:dyDescent="0.3">
      <c r="A287" s="145" t="s">
        <v>277</v>
      </c>
      <c r="B287" s="40">
        <v>5</v>
      </c>
      <c r="C287" t="s">
        <v>300</v>
      </c>
      <c r="D287" t="e">
        <f>VLOOKUP(A:A,Incidencias!B:B,1,FALSE)</f>
        <v>#N/A</v>
      </c>
    </row>
    <row r="288" spans="1:4" x14ac:dyDescent="0.3">
      <c r="A288" s="145" t="s">
        <v>303</v>
      </c>
      <c r="B288" s="40">
        <v>2</v>
      </c>
      <c r="C288" t="s">
        <v>300</v>
      </c>
      <c r="D288" t="e">
        <f>VLOOKUP(A:A,Incidencias!B:B,1,FALSE)</f>
        <v>#N/A</v>
      </c>
    </row>
    <row r="289" spans="1:4" x14ac:dyDescent="0.3">
      <c r="A289" s="145" t="s">
        <v>261</v>
      </c>
      <c r="B289" s="40">
        <v>5</v>
      </c>
      <c r="C289" t="s">
        <v>300</v>
      </c>
      <c r="D289" t="e">
        <f>VLOOKUP(A:A,Incidencias!B:B,1,FALSE)</f>
        <v>#N/A</v>
      </c>
    </row>
    <row r="290" spans="1:4" x14ac:dyDescent="0.3">
      <c r="A290" s="145" t="s">
        <v>293</v>
      </c>
      <c r="B290" s="40">
        <v>1</v>
      </c>
      <c r="C290" t="s">
        <v>300</v>
      </c>
      <c r="D290" t="e">
        <f>VLOOKUP(A:A,Incidencias!B:B,1,FALSE)</f>
        <v>#N/A</v>
      </c>
    </row>
    <row r="291" spans="1:4" x14ac:dyDescent="0.3">
      <c r="A291" s="145" t="s">
        <v>156</v>
      </c>
      <c r="B291" s="40">
        <v>2</v>
      </c>
      <c r="C291" t="s">
        <v>300</v>
      </c>
      <c r="D291" t="e">
        <f>VLOOKUP(A:A,Incidencias!B:B,1,FALSE)</f>
        <v>#N/A</v>
      </c>
    </row>
    <row r="292" spans="1:4" x14ac:dyDescent="0.3">
      <c r="A292" s="145" t="s">
        <v>136</v>
      </c>
      <c r="B292" s="40">
        <v>5</v>
      </c>
      <c r="C292" t="s">
        <v>300</v>
      </c>
      <c r="D292" t="e">
        <f>VLOOKUP(A:A,Incidencias!B:B,1,FALSE)</f>
        <v>#N/A</v>
      </c>
    </row>
    <row r="293" spans="1:4" x14ac:dyDescent="0.3">
      <c r="A293" s="145" t="s">
        <v>304</v>
      </c>
      <c r="B293" s="40">
        <v>1</v>
      </c>
      <c r="C293" t="s">
        <v>300</v>
      </c>
      <c r="D293" t="e">
        <f>VLOOKUP(A:A,Incidencias!B:B,1,FALSE)</f>
        <v>#N/A</v>
      </c>
    </row>
    <row r="294" spans="1:4" x14ac:dyDescent="0.3">
      <c r="A294" s="145" t="s">
        <v>305</v>
      </c>
      <c r="B294" s="40">
        <v>2</v>
      </c>
      <c r="C294" t="s">
        <v>300</v>
      </c>
      <c r="D294" t="e">
        <f>VLOOKUP(A:A,Incidencias!B:B,1,FALSE)</f>
        <v>#N/A</v>
      </c>
    </row>
    <row r="295" spans="1:4" x14ac:dyDescent="0.3">
      <c r="A295" s="145" t="s">
        <v>306</v>
      </c>
      <c r="B295" s="40">
        <v>3</v>
      </c>
      <c r="C295" t="s">
        <v>300</v>
      </c>
      <c r="D295" t="e">
        <f>VLOOKUP(A:A,Incidencias!B:B,1,FALSE)</f>
        <v>#N/A</v>
      </c>
    </row>
    <row r="296" spans="1:4" x14ac:dyDescent="0.3">
      <c r="A296" s="145" t="s">
        <v>307</v>
      </c>
      <c r="B296" s="40">
        <v>3</v>
      </c>
      <c r="C296" t="s">
        <v>300</v>
      </c>
      <c r="D296" t="e">
        <f>VLOOKUP(A:A,Incidencias!B:B,1,FALSE)</f>
        <v>#N/A</v>
      </c>
    </row>
    <row r="297" spans="1:4" x14ac:dyDescent="0.3">
      <c r="A297" s="145" t="s">
        <v>308</v>
      </c>
      <c r="B297" s="40">
        <v>1</v>
      </c>
      <c r="C297" t="s">
        <v>300</v>
      </c>
      <c r="D297" t="e">
        <f>VLOOKUP(A:A,Incidencias!B:B,1,FALSE)</f>
        <v>#N/A</v>
      </c>
    </row>
    <row r="298" spans="1:4" x14ac:dyDescent="0.3">
      <c r="A298" s="145" t="s">
        <v>309</v>
      </c>
      <c r="B298" s="40">
        <v>2</v>
      </c>
      <c r="C298" t="s">
        <v>300</v>
      </c>
      <c r="D298" t="e">
        <f>VLOOKUP(A:A,Incidencias!B:B,1,FALSE)</f>
        <v>#N/A</v>
      </c>
    </row>
    <row r="299" spans="1:4" x14ac:dyDescent="0.3">
      <c r="A299" s="145" t="s">
        <v>310</v>
      </c>
      <c r="B299" s="40">
        <v>2</v>
      </c>
      <c r="C299" t="s">
        <v>300</v>
      </c>
      <c r="D299" t="e">
        <f>VLOOKUP(A:A,Incidencias!B:B,1,FALSE)</f>
        <v>#N/A</v>
      </c>
    </row>
    <row r="300" spans="1:4" x14ac:dyDescent="0.3">
      <c r="A300" s="145" t="s">
        <v>311</v>
      </c>
      <c r="B300" s="40">
        <v>1</v>
      </c>
      <c r="C300" t="s">
        <v>300</v>
      </c>
      <c r="D300" t="e">
        <f>VLOOKUP(A:A,Incidencias!B:B,1,FALSE)</f>
        <v>#N/A</v>
      </c>
    </row>
    <row r="301" spans="1:4" x14ac:dyDescent="0.3">
      <c r="A301" s="145" t="s">
        <v>312</v>
      </c>
      <c r="B301" s="40">
        <v>2</v>
      </c>
      <c r="C301" t="s">
        <v>300</v>
      </c>
      <c r="D301" t="e">
        <f>VLOOKUP(A:A,Incidencias!B:B,1,FALSE)</f>
        <v>#N/A</v>
      </c>
    </row>
    <row r="302" spans="1:4" x14ac:dyDescent="0.3">
      <c r="A302" s="145" t="s">
        <v>313</v>
      </c>
      <c r="B302" s="40">
        <v>2</v>
      </c>
      <c r="C302" t="s">
        <v>300</v>
      </c>
      <c r="D302" t="e">
        <f>VLOOKUP(A:A,Incidencias!B:B,1,FALSE)</f>
        <v>#N/A</v>
      </c>
    </row>
    <row r="303" spans="1:4" x14ac:dyDescent="0.3">
      <c r="A303" s="145" t="s">
        <v>314</v>
      </c>
      <c r="B303" s="40">
        <v>2</v>
      </c>
      <c r="C303" t="s">
        <v>300</v>
      </c>
      <c r="D303" t="e">
        <f>VLOOKUP(A:A,Incidencias!B:B,1,FALSE)</f>
        <v>#N/A</v>
      </c>
    </row>
    <row r="304" spans="1:4" x14ac:dyDescent="0.3">
      <c r="A304" s="145" t="s">
        <v>315</v>
      </c>
      <c r="B304" s="40">
        <v>2</v>
      </c>
      <c r="C304" t="s">
        <v>300</v>
      </c>
      <c r="D304" t="e">
        <f>VLOOKUP(A:A,Incidencias!B:B,1,FALSE)</f>
        <v>#N/A</v>
      </c>
    </row>
    <row r="305" spans="1:4" x14ac:dyDescent="0.3">
      <c r="A305" s="145" t="s">
        <v>142</v>
      </c>
      <c r="B305" s="40">
        <v>2</v>
      </c>
      <c r="C305" t="s">
        <v>300</v>
      </c>
      <c r="D305" t="e">
        <f>VLOOKUP(A:A,Incidencias!B:B,1,FALSE)</f>
        <v>#N/A</v>
      </c>
    </row>
    <row r="306" spans="1:4" x14ac:dyDescent="0.3">
      <c r="A306" s="145" t="s">
        <v>175</v>
      </c>
      <c r="B306" s="40">
        <v>8</v>
      </c>
      <c r="C306" t="s">
        <v>300</v>
      </c>
      <c r="D306" t="e">
        <f>VLOOKUP(A:A,Incidencias!B:B,1,FALSE)</f>
        <v>#N/A</v>
      </c>
    </row>
    <row r="307" spans="1:4" x14ac:dyDescent="0.3">
      <c r="A307" s="145" t="s">
        <v>198</v>
      </c>
      <c r="B307" s="40">
        <v>4</v>
      </c>
      <c r="C307" t="s">
        <v>300</v>
      </c>
      <c r="D307" t="e">
        <f>VLOOKUP(A:A,Incidencias!B:B,1,FALSE)</f>
        <v>#N/A</v>
      </c>
    </row>
    <row r="308" spans="1:4" x14ac:dyDescent="0.3">
      <c r="A308" s="145" t="s">
        <v>299</v>
      </c>
      <c r="B308" s="40">
        <v>4</v>
      </c>
      <c r="C308" t="s">
        <v>300</v>
      </c>
      <c r="D308" t="e">
        <f>VLOOKUP(A:A,Incidencias!B:B,1,FALSE)</f>
        <v>#N/A</v>
      </c>
    </row>
    <row r="309" spans="1:4" x14ac:dyDescent="0.3">
      <c r="A309" s="145" t="s">
        <v>316</v>
      </c>
      <c r="B309" s="40">
        <v>8</v>
      </c>
      <c r="C309" t="s">
        <v>300</v>
      </c>
      <c r="D309" t="e">
        <f>VLOOKUP(A:A,Incidencias!B:B,1,FALSE)</f>
        <v>#N/A</v>
      </c>
    </row>
    <row r="310" spans="1:4" x14ac:dyDescent="0.3">
      <c r="A310" s="145" t="s">
        <v>317</v>
      </c>
      <c r="B310" s="40">
        <v>1</v>
      </c>
      <c r="C310" t="s">
        <v>300</v>
      </c>
      <c r="D310" t="e">
        <f>VLOOKUP(A:A,Incidencias!B:B,1,FALSE)</f>
        <v>#N/A</v>
      </c>
    </row>
    <row r="311" spans="1:4" x14ac:dyDescent="0.3">
      <c r="A311" s="145" t="s">
        <v>318</v>
      </c>
      <c r="B311" s="40">
        <v>1</v>
      </c>
      <c r="C311" t="s">
        <v>300</v>
      </c>
      <c r="D311" t="e">
        <f>VLOOKUP(A:A,Incidencias!B:B,1,FALSE)</f>
        <v>#N/A</v>
      </c>
    </row>
    <row r="312" spans="1:4" x14ac:dyDescent="0.3">
      <c r="A312" s="145" t="s">
        <v>114</v>
      </c>
      <c r="B312" s="39">
        <v>1</v>
      </c>
      <c r="C312" t="s">
        <v>300</v>
      </c>
      <c r="D312" t="e">
        <f>VLOOKUP(A:A,Incidencias!B:B,1,FALSE)</f>
        <v>#N/A</v>
      </c>
    </row>
    <row r="313" spans="1:4" x14ac:dyDescent="0.3">
      <c r="A313" s="145" t="s">
        <v>133</v>
      </c>
      <c r="B313" s="40">
        <v>1</v>
      </c>
      <c r="C313" t="s">
        <v>300</v>
      </c>
      <c r="D313" t="e">
        <f>VLOOKUP(A:A,Incidencias!B:B,1,FALSE)</f>
        <v>#N/A</v>
      </c>
    </row>
    <row r="314" spans="1:4" x14ac:dyDescent="0.3">
      <c r="A314" s="145" t="s">
        <v>136</v>
      </c>
      <c r="B314" s="40">
        <v>1</v>
      </c>
      <c r="C314" t="s">
        <v>300</v>
      </c>
      <c r="D314" t="e">
        <f>VLOOKUP(A:A,Incidencias!B:B,1,FALSE)</f>
        <v>#N/A</v>
      </c>
    </row>
    <row r="315" spans="1:4" x14ac:dyDescent="0.3">
      <c r="A315" s="145" t="s">
        <v>277</v>
      </c>
      <c r="B315" s="40">
        <v>3</v>
      </c>
      <c r="C315" t="s">
        <v>300</v>
      </c>
      <c r="D315" t="e">
        <f>VLOOKUP(A:A,Incidencias!B:B,1,FALSE)</f>
        <v>#N/A</v>
      </c>
    </row>
    <row r="316" spans="1:4" x14ac:dyDescent="0.3">
      <c r="A316" s="145" t="s">
        <v>136</v>
      </c>
      <c r="B316" s="40">
        <v>2</v>
      </c>
      <c r="C316" t="s">
        <v>300</v>
      </c>
      <c r="D316" t="e">
        <f>VLOOKUP(A:A,Incidencias!B:B,1,FALSE)</f>
        <v>#N/A</v>
      </c>
    </row>
    <row r="317" spans="1:4" x14ac:dyDescent="0.3">
      <c r="A317" s="145" t="s">
        <v>153</v>
      </c>
      <c r="B317" s="40">
        <v>1.5</v>
      </c>
      <c r="C317" t="s">
        <v>300</v>
      </c>
      <c r="D317" t="e">
        <f>VLOOKUP(A:A,Incidencias!B:B,1,FALSE)</f>
        <v>#N/A</v>
      </c>
    </row>
    <row r="318" spans="1:4" x14ac:dyDescent="0.3">
      <c r="A318" s="145" t="s">
        <v>261</v>
      </c>
      <c r="B318" s="40">
        <v>1.5</v>
      </c>
      <c r="C318" t="s">
        <v>300</v>
      </c>
      <c r="D318" t="e">
        <f>VLOOKUP(A:A,Incidencias!B:B,1,FALSE)</f>
        <v>#N/A</v>
      </c>
    </row>
    <row r="319" spans="1:4" x14ac:dyDescent="0.3">
      <c r="A319" s="145" t="s">
        <v>266</v>
      </c>
      <c r="B319" s="40">
        <v>1</v>
      </c>
      <c r="C319" t="s">
        <v>300</v>
      </c>
      <c r="D319" t="e">
        <f>VLOOKUP(A:A,Incidencias!B:B,1,FALSE)</f>
        <v>#N/A</v>
      </c>
    </row>
    <row r="320" spans="1:4" x14ac:dyDescent="0.3">
      <c r="A320" s="145" t="s">
        <v>317</v>
      </c>
      <c r="B320" s="40">
        <v>2</v>
      </c>
      <c r="C320" t="s">
        <v>300</v>
      </c>
      <c r="D320" t="e">
        <f>VLOOKUP(A:A,Incidencias!B:B,1,FALSE)</f>
        <v>#N/A</v>
      </c>
    </row>
    <row r="321" spans="1:4" x14ac:dyDescent="0.3">
      <c r="A321" s="145" t="s">
        <v>307</v>
      </c>
      <c r="B321" s="40">
        <v>2</v>
      </c>
      <c r="C321" t="s">
        <v>300</v>
      </c>
      <c r="D321" t="e">
        <f>VLOOKUP(A:A,Incidencias!B:B,1,FALSE)</f>
        <v>#N/A</v>
      </c>
    </row>
    <row r="322" spans="1:4" x14ac:dyDescent="0.3">
      <c r="A322" s="145" t="s">
        <v>311</v>
      </c>
      <c r="B322" s="40">
        <v>1</v>
      </c>
      <c r="C322" t="s">
        <v>300</v>
      </c>
      <c r="D322" t="e">
        <f>VLOOKUP(A:A,Incidencias!B:B,1,FALSE)</f>
        <v>#N/A</v>
      </c>
    </row>
    <row r="323" spans="1:4" x14ac:dyDescent="0.3">
      <c r="A323" s="145" t="s">
        <v>319</v>
      </c>
      <c r="B323" s="40">
        <v>1</v>
      </c>
      <c r="C323" t="s">
        <v>300</v>
      </c>
      <c r="D323" t="e">
        <f>VLOOKUP(A:A,Incidencias!B:B,1,FALSE)</f>
        <v>#N/A</v>
      </c>
    </row>
    <row r="324" spans="1:4" x14ac:dyDescent="0.3">
      <c r="A324" s="145" t="s">
        <v>308</v>
      </c>
      <c r="B324" s="40">
        <v>1</v>
      </c>
      <c r="C324" t="s">
        <v>300</v>
      </c>
      <c r="D324" t="e">
        <f>VLOOKUP(A:A,Incidencias!B:B,1,FALSE)</f>
        <v>#N/A</v>
      </c>
    </row>
    <row r="325" spans="1:4" x14ac:dyDescent="0.3">
      <c r="A325" s="145" t="s">
        <v>313</v>
      </c>
      <c r="B325" s="40">
        <v>1.5</v>
      </c>
      <c r="C325" t="s">
        <v>300</v>
      </c>
      <c r="D325" t="e">
        <f>VLOOKUP(A:A,Incidencias!B:B,1,FALSE)</f>
        <v>#N/A</v>
      </c>
    </row>
    <row r="326" spans="1:4" x14ac:dyDescent="0.3">
      <c r="A326" s="145" t="s">
        <v>304</v>
      </c>
      <c r="B326" s="40">
        <v>1</v>
      </c>
      <c r="C326" t="s">
        <v>300</v>
      </c>
      <c r="D326" t="e">
        <f>VLOOKUP(A:A,Incidencias!B:B,1,FALSE)</f>
        <v>#N/A</v>
      </c>
    </row>
    <row r="327" spans="1:4" x14ac:dyDescent="0.3">
      <c r="A327" s="145" t="s">
        <v>206</v>
      </c>
      <c r="B327" s="40">
        <v>0.5</v>
      </c>
      <c r="C327" t="s">
        <v>300</v>
      </c>
      <c r="D327" t="e">
        <f>VLOOKUP(A:A,Incidencias!B:B,1,FALSE)</f>
        <v>#N/A</v>
      </c>
    </row>
    <row r="328" spans="1:4" x14ac:dyDescent="0.3">
      <c r="A328" s="145" t="s">
        <v>305</v>
      </c>
      <c r="B328" s="40">
        <v>2</v>
      </c>
      <c r="C328" t="s">
        <v>300</v>
      </c>
      <c r="D328" t="e">
        <f>VLOOKUP(A:A,Incidencias!B:B,1,FALSE)</f>
        <v>#N/A</v>
      </c>
    </row>
    <row r="329" spans="1:4" x14ac:dyDescent="0.3">
      <c r="A329" s="145" t="s">
        <v>320</v>
      </c>
      <c r="B329" s="40">
        <v>1</v>
      </c>
      <c r="C329" t="s">
        <v>300</v>
      </c>
      <c r="D329" t="e">
        <f>VLOOKUP(A:A,Incidencias!B:B,1,FALSE)</f>
        <v>#N/A</v>
      </c>
    </row>
    <row r="330" spans="1:4" x14ac:dyDescent="0.3">
      <c r="A330" s="145" t="s">
        <v>298</v>
      </c>
      <c r="B330" s="40">
        <v>1</v>
      </c>
      <c r="C330" t="s">
        <v>300</v>
      </c>
      <c r="D330" t="e">
        <f>VLOOKUP(A:A,Incidencias!B:B,1,FALSE)</f>
        <v>#N/A</v>
      </c>
    </row>
    <row r="331" spans="1:4" x14ac:dyDescent="0.3">
      <c r="A331" s="145" t="s">
        <v>277</v>
      </c>
      <c r="B331" s="40">
        <v>4</v>
      </c>
      <c r="C331" t="s">
        <v>300</v>
      </c>
      <c r="D331" t="e">
        <f>VLOOKUP(A:A,Incidencias!B:B,1,FALSE)</f>
        <v>#N/A</v>
      </c>
    </row>
    <row r="332" spans="1:4" x14ac:dyDescent="0.3">
      <c r="A332" s="145" t="s">
        <v>317</v>
      </c>
      <c r="B332" s="40">
        <v>2</v>
      </c>
      <c r="C332" t="s">
        <v>300</v>
      </c>
      <c r="D332" t="e">
        <f>VLOOKUP(A:A,Incidencias!B:B,1,FALSE)</f>
        <v>#N/A</v>
      </c>
    </row>
    <row r="333" spans="1:4" x14ac:dyDescent="0.3">
      <c r="A333" s="145" t="s">
        <v>261</v>
      </c>
      <c r="B333" s="40">
        <v>1</v>
      </c>
      <c r="C333" t="s">
        <v>300</v>
      </c>
      <c r="D333" t="e">
        <f>VLOOKUP(A:A,Incidencias!B:B,1,FALSE)</f>
        <v>#N/A</v>
      </c>
    </row>
    <row r="334" spans="1:4" x14ac:dyDescent="0.3">
      <c r="A334" s="145" t="s">
        <v>293</v>
      </c>
      <c r="B334" s="40">
        <v>2</v>
      </c>
      <c r="C334" t="s">
        <v>300</v>
      </c>
      <c r="D334" t="e">
        <f>VLOOKUP(A:A,Incidencias!B:B,1,FALSE)</f>
        <v>#N/A</v>
      </c>
    </row>
    <row r="335" spans="1:4" x14ac:dyDescent="0.3">
      <c r="A335" s="145" t="s">
        <v>289</v>
      </c>
      <c r="B335" s="40">
        <v>1</v>
      </c>
      <c r="C335" t="s">
        <v>300</v>
      </c>
      <c r="D335" t="e">
        <f>VLOOKUP(A:A,Incidencias!B:B,1,FALSE)</f>
        <v>#N/A</v>
      </c>
    </row>
    <row r="336" spans="1:4" x14ac:dyDescent="0.3">
      <c r="A336" s="145" t="s">
        <v>314</v>
      </c>
      <c r="B336" s="40">
        <v>2</v>
      </c>
      <c r="C336" t="s">
        <v>300</v>
      </c>
      <c r="D336" t="e">
        <f>VLOOKUP(A:A,Incidencias!B:B,1,FALSE)</f>
        <v>#N/A</v>
      </c>
    </row>
    <row r="337" spans="1:8" x14ac:dyDescent="0.3">
      <c r="A337" s="145" t="s">
        <v>168</v>
      </c>
      <c r="B337" s="39">
        <v>8</v>
      </c>
      <c r="C337" t="s">
        <v>300</v>
      </c>
      <c r="D337" t="e">
        <f>VLOOKUP(A:A,Incidencias!B:B,1,FALSE)</f>
        <v>#N/A</v>
      </c>
    </row>
    <row r="338" spans="1:8" x14ac:dyDescent="0.3">
      <c r="A338" s="145" t="s">
        <v>321</v>
      </c>
      <c r="B338" s="40">
        <v>8</v>
      </c>
      <c r="C338" t="s">
        <v>300</v>
      </c>
      <c r="D338" t="e">
        <f>VLOOKUP(A:A,Incidencias!B:B,1,FALSE)</f>
        <v>#N/A</v>
      </c>
    </row>
    <row r="339" spans="1:8" x14ac:dyDescent="0.3">
      <c r="A339" s="145" t="s">
        <v>277</v>
      </c>
      <c r="B339" s="40">
        <v>1</v>
      </c>
      <c r="C339" t="s">
        <v>300</v>
      </c>
      <c r="D339" t="e">
        <f>VLOOKUP(A:A,Incidencias!B:B,1,FALSE)</f>
        <v>#N/A</v>
      </c>
    </row>
    <row r="340" spans="1:8" x14ac:dyDescent="0.3">
      <c r="A340" s="145" t="s">
        <v>322</v>
      </c>
      <c r="B340" s="40">
        <v>2</v>
      </c>
      <c r="C340" t="s">
        <v>300</v>
      </c>
      <c r="D340" t="e">
        <f>VLOOKUP(A:A,Incidencias!B:B,1,FALSE)</f>
        <v>#N/A</v>
      </c>
    </row>
    <row r="341" spans="1:8" x14ac:dyDescent="0.3">
      <c r="A341" s="145" t="s">
        <v>322</v>
      </c>
      <c r="B341" s="40">
        <v>5</v>
      </c>
      <c r="C341" t="s">
        <v>300</v>
      </c>
      <c r="D341" t="e">
        <f>VLOOKUP(A:A,Incidencias!B:B,1,FALSE)</f>
        <v>#N/A</v>
      </c>
    </row>
    <row r="342" spans="1:8" x14ac:dyDescent="0.3">
      <c r="A342" s="145" t="s">
        <v>322</v>
      </c>
      <c r="B342" s="40">
        <v>3</v>
      </c>
      <c r="C342" t="s">
        <v>300</v>
      </c>
      <c r="D342" t="e">
        <f>VLOOKUP(A:A,Incidencias!B:B,1,FALSE)</f>
        <v>#N/A</v>
      </c>
    </row>
    <row r="343" spans="1:8" x14ac:dyDescent="0.3">
      <c r="A343" s="145" t="s">
        <v>277</v>
      </c>
      <c r="B343" s="40">
        <v>5</v>
      </c>
      <c r="C343" t="s">
        <v>300</v>
      </c>
      <c r="D343" t="e">
        <f>VLOOKUP(A:A,Incidencias!B:B,1,FALSE)</f>
        <v>#N/A</v>
      </c>
    </row>
    <row r="344" spans="1:8" x14ac:dyDescent="0.3">
      <c r="A344" s="145" t="s">
        <v>323</v>
      </c>
      <c r="B344" s="40">
        <v>0.5</v>
      </c>
      <c r="C344" t="s">
        <v>300</v>
      </c>
      <c r="D344" t="e">
        <f>VLOOKUP(A:A,Incidencias!B:B,1,FALSE)</f>
        <v>#N/A</v>
      </c>
    </row>
    <row r="345" spans="1:8" x14ac:dyDescent="0.3">
      <c r="A345" s="145" t="s">
        <v>324</v>
      </c>
      <c r="B345" s="40">
        <v>3.5</v>
      </c>
      <c r="C345" t="s">
        <v>300</v>
      </c>
      <c r="D345" t="e">
        <f>VLOOKUP(A:A,Incidencias!B:B,1,FALSE)</f>
        <v>#N/A</v>
      </c>
    </row>
    <row r="346" spans="1:8" x14ac:dyDescent="0.3">
      <c r="A346" s="145" t="s">
        <v>325</v>
      </c>
      <c r="B346" s="40">
        <v>1</v>
      </c>
      <c r="C346" t="s">
        <v>300</v>
      </c>
      <c r="D346" t="e">
        <f>VLOOKUP(A:A,Incidencias!B:B,1,FALSE)</f>
        <v>#N/A</v>
      </c>
    </row>
    <row r="347" spans="1:8" x14ac:dyDescent="0.3">
      <c r="A347" s="145" t="s">
        <v>326</v>
      </c>
      <c r="B347" s="40">
        <v>3</v>
      </c>
      <c r="C347" t="s">
        <v>300</v>
      </c>
      <c r="D347" t="e">
        <f>VLOOKUP(A:A,Incidencias!B:B,1,FALSE)</f>
        <v>#N/A</v>
      </c>
    </row>
    <row r="348" spans="1:8" x14ac:dyDescent="0.3">
      <c r="A348" s="145" t="s">
        <v>313</v>
      </c>
      <c r="B348" s="40">
        <v>7.5</v>
      </c>
      <c r="C348" t="s">
        <v>300</v>
      </c>
      <c r="D348" t="e">
        <f>VLOOKUP(A:A,Incidencias!B:B,1,FALSE)</f>
        <v>#N/A</v>
      </c>
      <c r="H348" t="s">
        <v>327</v>
      </c>
    </row>
    <row r="349" spans="1:8" x14ac:dyDescent="0.3">
      <c r="A349" s="145" t="s">
        <v>326</v>
      </c>
      <c r="B349" s="40">
        <v>0.5</v>
      </c>
      <c r="C349" t="s">
        <v>300</v>
      </c>
      <c r="D349" t="e">
        <f>VLOOKUP(A:A,Incidencias!B:B,1,FALSE)</f>
        <v>#N/A</v>
      </c>
    </row>
    <row r="350" spans="1:8" x14ac:dyDescent="0.3">
      <c r="A350" s="145" t="s">
        <v>287</v>
      </c>
      <c r="B350" s="40">
        <v>2.5</v>
      </c>
      <c r="C350" t="s">
        <v>300</v>
      </c>
      <c r="D350" t="e">
        <f>VLOOKUP(A:A,Incidencias!B:B,1,FALSE)</f>
        <v>#N/A</v>
      </c>
    </row>
    <row r="351" spans="1:8" x14ac:dyDescent="0.3">
      <c r="A351" s="145" t="s">
        <v>282</v>
      </c>
      <c r="B351" s="40">
        <v>2</v>
      </c>
      <c r="C351" t="s">
        <v>300</v>
      </c>
      <c r="D351" t="e">
        <f>VLOOKUP(A:A,Incidencias!B:B,1,FALSE)</f>
        <v>#N/A</v>
      </c>
    </row>
    <row r="352" spans="1:8" x14ac:dyDescent="0.3">
      <c r="A352" s="145" t="s">
        <v>289</v>
      </c>
      <c r="B352" s="40">
        <v>2</v>
      </c>
      <c r="C352" t="s">
        <v>300</v>
      </c>
      <c r="D352" t="e">
        <f>VLOOKUP(A:A,Incidencias!B:B,1,FALSE)</f>
        <v>#N/A</v>
      </c>
    </row>
    <row r="353" spans="1:8" x14ac:dyDescent="0.3">
      <c r="A353" s="145" t="s">
        <v>313</v>
      </c>
      <c r="B353" s="40">
        <v>1</v>
      </c>
      <c r="C353" t="s">
        <v>300</v>
      </c>
      <c r="D353" t="e">
        <f>VLOOKUP(A:A,Incidencias!B:B,1,FALSE)</f>
        <v>#N/A</v>
      </c>
      <c r="H353" t="s">
        <v>328</v>
      </c>
    </row>
    <row r="354" spans="1:8" x14ac:dyDescent="0.3">
      <c r="A354" s="145" t="s">
        <v>326</v>
      </c>
      <c r="B354" s="40">
        <v>0.5</v>
      </c>
      <c r="C354" t="s">
        <v>300</v>
      </c>
      <c r="D354" t="e">
        <f>VLOOKUP(A:A,Incidencias!B:B,1,FALSE)</f>
        <v>#N/A</v>
      </c>
    </row>
    <row r="355" spans="1:8" x14ac:dyDescent="0.3">
      <c r="A355" s="145" t="s">
        <v>175</v>
      </c>
      <c r="B355" s="40">
        <v>1.5</v>
      </c>
      <c r="C355" t="s">
        <v>300</v>
      </c>
      <c r="D355" t="e">
        <f>VLOOKUP(A:A,Incidencias!B:B,1,FALSE)</f>
        <v>#N/A</v>
      </c>
    </row>
    <row r="356" spans="1:8" x14ac:dyDescent="0.3">
      <c r="A356" s="145" t="s">
        <v>175</v>
      </c>
      <c r="B356" s="40">
        <v>0.5</v>
      </c>
      <c r="C356" t="s">
        <v>300</v>
      </c>
      <c r="D356" t="e">
        <f>VLOOKUP(A:A,Incidencias!B:B,1,FALSE)</f>
        <v>#N/A</v>
      </c>
    </row>
    <row r="357" spans="1:8" x14ac:dyDescent="0.3">
      <c r="A357" s="145" t="s">
        <v>329</v>
      </c>
      <c r="B357" s="40">
        <v>2</v>
      </c>
      <c r="C357" t="s">
        <v>300</v>
      </c>
      <c r="D357" t="e">
        <f>VLOOKUP(A:A,Incidencias!B:B,1,FALSE)</f>
        <v>#N/A</v>
      </c>
    </row>
    <row r="358" spans="1:8" x14ac:dyDescent="0.3">
      <c r="A358" s="145" t="s">
        <v>175</v>
      </c>
      <c r="B358" s="40">
        <v>2</v>
      </c>
      <c r="C358" t="s">
        <v>300</v>
      </c>
      <c r="D358" t="e">
        <f>VLOOKUP(A:A,Incidencias!B:B,1,FALSE)</f>
        <v>#N/A</v>
      </c>
    </row>
    <row r="359" spans="1:8" x14ac:dyDescent="0.3">
      <c r="A359" s="145" t="s">
        <v>299</v>
      </c>
      <c r="B359" s="40">
        <v>4</v>
      </c>
      <c r="C359" t="s">
        <v>300</v>
      </c>
      <c r="D359" t="e">
        <f>VLOOKUP(A:A,Incidencias!B:B,1,FALSE)</f>
        <v>#N/A</v>
      </c>
    </row>
    <row r="360" spans="1:8" x14ac:dyDescent="0.3">
      <c r="A360" s="145" t="s">
        <v>299</v>
      </c>
      <c r="B360" s="40">
        <v>4</v>
      </c>
      <c r="C360" t="s">
        <v>300</v>
      </c>
      <c r="D360" t="e">
        <f>VLOOKUP(A:A,Incidencias!B:B,1,FALSE)</f>
        <v>#N/A</v>
      </c>
    </row>
    <row r="361" spans="1:8" x14ac:dyDescent="0.3">
      <c r="A361" s="145" t="s">
        <v>293</v>
      </c>
      <c r="B361" s="40">
        <v>4.5</v>
      </c>
      <c r="C361" t="s">
        <v>300</v>
      </c>
      <c r="D361" t="e">
        <f>VLOOKUP(A:A,Incidencias!B:B,1,FALSE)</f>
        <v>#N/A</v>
      </c>
    </row>
    <row r="362" spans="1:8" x14ac:dyDescent="0.3">
      <c r="A362" s="145" t="s">
        <v>293</v>
      </c>
      <c r="B362" s="40">
        <v>3.5</v>
      </c>
      <c r="C362" t="s">
        <v>300</v>
      </c>
      <c r="D362" t="e">
        <f>VLOOKUP(A:A,Incidencias!B:B,1,FALSE)</f>
        <v>#N/A</v>
      </c>
    </row>
    <row r="363" spans="1:8" x14ac:dyDescent="0.3">
      <c r="A363" s="145" t="s">
        <v>330</v>
      </c>
      <c r="B363" s="40">
        <v>5</v>
      </c>
      <c r="C363" t="s">
        <v>300</v>
      </c>
      <c r="D363" t="e">
        <f>VLOOKUP(A:A,Incidencias!B:B,1,FALSE)</f>
        <v>#N/A</v>
      </c>
    </row>
    <row r="364" spans="1:8" x14ac:dyDescent="0.3">
      <c r="A364" s="145" t="s">
        <v>330</v>
      </c>
      <c r="B364" s="40">
        <v>3</v>
      </c>
      <c r="C364" t="s">
        <v>300</v>
      </c>
      <c r="D364" t="e">
        <f>VLOOKUP(A:A,Incidencias!B:B,1,FALSE)</f>
        <v>#N/A</v>
      </c>
    </row>
    <row r="365" spans="1:8" x14ac:dyDescent="0.3">
      <c r="A365" s="145" t="s">
        <v>331</v>
      </c>
      <c r="B365" s="40">
        <v>4.5</v>
      </c>
      <c r="C365" t="s">
        <v>300</v>
      </c>
      <c r="D365" t="e">
        <f>VLOOKUP(A:A,Incidencias!B:B,1,FALSE)</f>
        <v>#N/A</v>
      </c>
    </row>
    <row r="366" spans="1:8" x14ac:dyDescent="0.3">
      <c r="A366" s="145" t="s">
        <v>331</v>
      </c>
      <c r="B366" s="40">
        <v>3.5</v>
      </c>
      <c r="C366" t="s">
        <v>300</v>
      </c>
      <c r="D366" t="e">
        <f>VLOOKUP(A:A,Incidencias!B:B,1,FALSE)</f>
        <v>#N/A</v>
      </c>
    </row>
    <row r="367" spans="1:8" x14ac:dyDescent="0.3">
      <c r="A367" s="145" t="s">
        <v>286</v>
      </c>
      <c r="B367" s="40">
        <v>1.5</v>
      </c>
      <c r="C367" t="s">
        <v>300</v>
      </c>
      <c r="D367" t="e">
        <f>VLOOKUP(A:A,Incidencias!B:B,1,FALSE)</f>
        <v>#N/A</v>
      </c>
    </row>
    <row r="368" spans="1:8" x14ac:dyDescent="0.3">
      <c r="A368" s="145" t="s">
        <v>331</v>
      </c>
      <c r="B368" s="40">
        <v>1.5</v>
      </c>
      <c r="C368" t="s">
        <v>300</v>
      </c>
      <c r="D368" t="e">
        <f>VLOOKUP(A:A,Incidencias!B:B,1,FALSE)</f>
        <v>#N/A</v>
      </c>
    </row>
    <row r="369" spans="1:4" x14ac:dyDescent="0.3">
      <c r="A369" s="145" t="s">
        <v>286</v>
      </c>
      <c r="B369" s="40">
        <v>1</v>
      </c>
      <c r="C369" t="s">
        <v>300</v>
      </c>
      <c r="D369" t="e">
        <f>VLOOKUP(A:A,Incidencias!B:B,1,FALSE)</f>
        <v>#N/A</v>
      </c>
    </row>
    <row r="370" spans="1:4" x14ac:dyDescent="0.3">
      <c r="A370" s="145" t="s">
        <v>332</v>
      </c>
      <c r="B370" s="40">
        <v>2</v>
      </c>
      <c r="C370" t="s">
        <v>300</v>
      </c>
      <c r="D370" t="e">
        <f>VLOOKUP(A:A,Incidencias!B:B,1,FALSE)</f>
        <v>#N/A</v>
      </c>
    </row>
    <row r="371" spans="1:4" x14ac:dyDescent="0.3">
      <c r="A371" s="145" t="s">
        <v>277</v>
      </c>
      <c r="B371" s="40">
        <v>3</v>
      </c>
      <c r="C371" t="s">
        <v>300</v>
      </c>
      <c r="D371" t="e">
        <f>VLOOKUP(A:A,Incidencias!B:B,1,FALSE)</f>
        <v>#N/A</v>
      </c>
    </row>
    <row r="372" spans="1:4" x14ac:dyDescent="0.3">
      <c r="A372" s="145" t="s">
        <v>307</v>
      </c>
      <c r="B372" s="40">
        <v>1</v>
      </c>
      <c r="C372" t="s">
        <v>300</v>
      </c>
      <c r="D372" t="e">
        <f>VLOOKUP(A:A,Incidencias!B:B,1,FALSE)</f>
        <v>#N/A</v>
      </c>
    </row>
    <row r="373" spans="1:4" x14ac:dyDescent="0.3">
      <c r="A373" s="145" t="s">
        <v>333</v>
      </c>
      <c r="B373" s="40">
        <v>0.5</v>
      </c>
      <c r="C373" t="s">
        <v>300</v>
      </c>
      <c r="D373" t="e">
        <f>VLOOKUP(A:A,Incidencias!B:B,1,FALSE)</f>
        <v>#N/A</v>
      </c>
    </row>
    <row r="374" spans="1:4" x14ac:dyDescent="0.3">
      <c r="A374" s="145" t="s">
        <v>279</v>
      </c>
      <c r="B374" s="40">
        <v>0.5</v>
      </c>
      <c r="C374" t="s">
        <v>300</v>
      </c>
      <c r="D374" t="e">
        <f>VLOOKUP(A:A,Incidencias!B:B,1,FALSE)</f>
        <v>#N/A</v>
      </c>
    </row>
    <row r="375" spans="1:4" x14ac:dyDescent="0.3">
      <c r="A375" s="145" t="s">
        <v>175</v>
      </c>
      <c r="B375" s="40">
        <v>2</v>
      </c>
      <c r="C375" t="s">
        <v>300</v>
      </c>
      <c r="D375" t="e">
        <f>VLOOKUP(A:A,Incidencias!B:B,1,FALSE)</f>
        <v>#N/A</v>
      </c>
    </row>
    <row r="376" spans="1:4" x14ac:dyDescent="0.3">
      <c r="A376" s="145" t="s">
        <v>299</v>
      </c>
      <c r="B376" s="40">
        <v>1</v>
      </c>
      <c r="C376" t="s">
        <v>300</v>
      </c>
      <c r="D376" t="e">
        <f>VLOOKUP(A:A,Incidencias!B:B,1,FALSE)</f>
        <v>#N/A</v>
      </c>
    </row>
    <row r="377" spans="1:4" x14ac:dyDescent="0.3">
      <c r="A377" s="145" t="s">
        <v>277</v>
      </c>
      <c r="B377" s="40">
        <v>2</v>
      </c>
      <c r="C377" t="s">
        <v>300</v>
      </c>
      <c r="D377" t="e">
        <f>VLOOKUP(A:A,Incidencias!B:B,1,FALSE)</f>
        <v>#N/A</v>
      </c>
    </row>
    <row r="378" spans="1:4" x14ac:dyDescent="0.3">
      <c r="A378" s="145" t="s">
        <v>334</v>
      </c>
      <c r="B378" s="40">
        <v>1</v>
      </c>
      <c r="C378" t="s">
        <v>300</v>
      </c>
      <c r="D378" t="e">
        <f>VLOOKUP(A:A,Incidencias!B:B,1,FALSE)</f>
        <v>#N/A</v>
      </c>
    </row>
    <row r="379" spans="1:4" x14ac:dyDescent="0.3">
      <c r="A379" s="145" t="s">
        <v>319</v>
      </c>
      <c r="B379" s="40">
        <v>2</v>
      </c>
      <c r="C379" t="s">
        <v>300</v>
      </c>
      <c r="D379" t="e">
        <f>VLOOKUP(A:A,Incidencias!B:B,1,FALSE)</f>
        <v>#N/A</v>
      </c>
    </row>
    <row r="380" spans="1:4" x14ac:dyDescent="0.3">
      <c r="A380" s="145" t="s">
        <v>335</v>
      </c>
      <c r="B380" s="40">
        <v>0.5</v>
      </c>
      <c r="C380" t="s">
        <v>300</v>
      </c>
      <c r="D380" t="e">
        <f>VLOOKUP(A:A,Incidencias!B:B,1,FALSE)</f>
        <v>#N/A</v>
      </c>
    </row>
    <row r="381" spans="1:4" x14ac:dyDescent="0.3">
      <c r="A381" s="145" t="s">
        <v>336</v>
      </c>
      <c r="B381" s="40">
        <v>0.5</v>
      </c>
      <c r="C381" t="s">
        <v>300</v>
      </c>
      <c r="D381" t="e">
        <f>VLOOKUP(A:A,Incidencias!B:B,1,FALSE)</f>
        <v>#N/A</v>
      </c>
    </row>
    <row r="382" spans="1:4" x14ac:dyDescent="0.3">
      <c r="A382" s="145" t="s">
        <v>323</v>
      </c>
      <c r="B382" s="40">
        <v>1</v>
      </c>
      <c r="C382" t="s">
        <v>300</v>
      </c>
      <c r="D382" t="e">
        <f>VLOOKUP(A:A,Incidencias!B:B,1,FALSE)</f>
        <v>#N/A</v>
      </c>
    </row>
    <row r="383" spans="1:4" x14ac:dyDescent="0.3">
      <c r="A383" s="145" t="s">
        <v>337</v>
      </c>
      <c r="B383" s="40">
        <v>1</v>
      </c>
      <c r="C383" t="s">
        <v>300</v>
      </c>
      <c r="D383" t="e">
        <f>VLOOKUP(A:A,Incidencias!B:B,1,FALSE)</f>
        <v>#N/A</v>
      </c>
    </row>
    <row r="384" spans="1:4" x14ac:dyDescent="0.3">
      <c r="A384" s="145" t="s">
        <v>277</v>
      </c>
      <c r="B384" s="40">
        <v>2</v>
      </c>
      <c r="C384" t="s">
        <v>300</v>
      </c>
      <c r="D384" t="e">
        <f>VLOOKUP(A:A,Incidencias!B:B,1,FALSE)</f>
        <v>#N/A</v>
      </c>
    </row>
    <row r="385" spans="1:4" x14ac:dyDescent="0.3">
      <c r="A385" s="145" t="s">
        <v>277</v>
      </c>
      <c r="B385" s="40">
        <v>2</v>
      </c>
      <c r="C385" t="s">
        <v>300</v>
      </c>
      <c r="D385" t="e">
        <f>VLOOKUP(A:A,Incidencias!B:B,1,FALSE)</f>
        <v>#N/A</v>
      </c>
    </row>
    <row r="386" spans="1:4" x14ac:dyDescent="0.3">
      <c r="A386" s="145" t="s">
        <v>194</v>
      </c>
      <c r="B386" s="40">
        <v>1</v>
      </c>
      <c r="C386" t="s">
        <v>300</v>
      </c>
      <c r="D386" t="e">
        <f>VLOOKUP(A:A,Incidencias!B:B,1,FALSE)</f>
        <v>#N/A</v>
      </c>
    </row>
    <row r="387" spans="1:4" x14ac:dyDescent="0.3">
      <c r="A387" s="145" t="s">
        <v>338</v>
      </c>
      <c r="B387" s="40">
        <v>1</v>
      </c>
      <c r="C387" t="s">
        <v>300</v>
      </c>
      <c r="D387" t="e">
        <f>VLOOKUP(A:A,Incidencias!B:B,1,FALSE)</f>
        <v>#N/A</v>
      </c>
    </row>
    <row r="388" spans="1:4" x14ac:dyDescent="0.3">
      <c r="A388" s="145" t="s">
        <v>339</v>
      </c>
      <c r="B388" s="40">
        <v>1</v>
      </c>
      <c r="C388" t="s">
        <v>300</v>
      </c>
      <c r="D388" t="e">
        <f>VLOOKUP(A:A,Incidencias!B:B,1,FALSE)</f>
        <v>#N/A</v>
      </c>
    </row>
    <row r="389" spans="1:4" x14ac:dyDescent="0.3">
      <c r="A389" s="145" t="s">
        <v>316</v>
      </c>
      <c r="B389" s="40">
        <v>1</v>
      </c>
      <c r="C389" t="s">
        <v>300</v>
      </c>
      <c r="D389" t="e">
        <f>VLOOKUP(A:A,Incidencias!B:B,1,FALSE)</f>
        <v>#N/A</v>
      </c>
    </row>
    <row r="390" spans="1:4" x14ac:dyDescent="0.3">
      <c r="A390" s="145" t="s">
        <v>277</v>
      </c>
      <c r="B390" s="40">
        <v>3</v>
      </c>
      <c r="C390" t="s">
        <v>300</v>
      </c>
      <c r="D390" t="e">
        <f>VLOOKUP(A:A,Incidencias!B:B,1,FALSE)</f>
        <v>#N/A</v>
      </c>
    </row>
    <row r="391" spans="1:4" x14ac:dyDescent="0.3">
      <c r="A391" s="145" t="s">
        <v>198</v>
      </c>
      <c r="B391" s="40">
        <v>2</v>
      </c>
      <c r="C391" t="s">
        <v>300</v>
      </c>
      <c r="D391" t="e">
        <f>VLOOKUP(A:A,Incidencias!B:B,1,FALSE)</f>
        <v>#N/A</v>
      </c>
    </row>
    <row r="392" spans="1:4" x14ac:dyDescent="0.3">
      <c r="A392" s="145" t="s">
        <v>340</v>
      </c>
      <c r="B392" s="40">
        <v>1</v>
      </c>
      <c r="C392" t="s">
        <v>300</v>
      </c>
      <c r="D392" t="e">
        <f>VLOOKUP(A:A,Incidencias!B:B,1,FALSE)</f>
        <v>#N/A</v>
      </c>
    </row>
    <row r="393" spans="1:4" x14ac:dyDescent="0.3">
      <c r="A393" s="145" t="s">
        <v>282</v>
      </c>
      <c r="B393" s="40">
        <v>2</v>
      </c>
      <c r="C393" t="s">
        <v>300</v>
      </c>
      <c r="D393" t="e">
        <f>VLOOKUP(A:A,Incidencias!B:B,1,FALSE)</f>
        <v>#N/A</v>
      </c>
    </row>
    <row r="394" spans="1:4" x14ac:dyDescent="0.3">
      <c r="A394" s="145" t="s">
        <v>283</v>
      </c>
      <c r="B394" s="40">
        <v>2</v>
      </c>
      <c r="C394" t="s">
        <v>300</v>
      </c>
      <c r="D394" t="e">
        <f>VLOOKUP(A:A,Incidencias!B:B,1,FALSE)</f>
        <v>#N/A</v>
      </c>
    </row>
    <row r="395" spans="1:4" x14ac:dyDescent="0.3">
      <c r="A395" s="145" t="s">
        <v>285</v>
      </c>
      <c r="B395" s="40">
        <v>1</v>
      </c>
      <c r="C395" t="s">
        <v>300</v>
      </c>
      <c r="D395" t="e">
        <f>VLOOKUP(A:A,Incidencias!B:B,1,FALSE)</f>
        <v>#N/A</v>
      </c>
    </row>
    <row r="396" spans="1:4" x14ac:dyDescent="0.3">
      <c r="A396" s="145" t="s">
        <v>289</v>
      </c>
      <c r="B396" s="40">
        <v>2</v>
      </c>
      <c r="C396" t="s">
        <v>300</v>
      </c>
      <c r="D396" t="e">
        <f>VLOOKUP(A:A,Incidencias!B:B,1,FALSE)</f>
        <v>#N/A</v>
      </c>
    </row>
    <row r="397" spans="1:4" x14ac:dyDescent="0.3">
      <c r="A397" s="145" t="s">
        <v>241</v>
      </c>
      <c r="B397" s="40">
        <v>2</v>
      </c>
      <c r="C397" t="s">
        <v>300</v>
      </c>
      <c r="D397" t="e">
        <f>VLOOKUP(A:A,Incidencias!B:B,1,FALSE)</f>
        <v>#N/A</v>
      </c>
    </row>
    <row r="398" spans="1:4" x14ac:dyDescent="0.3">
      <c r="A398" s="145" t="s">
        <v>272</v>
      </c>
      <c r="B398" s="40">
        <v>1</v>
      </c>
      <c r="C398" t="s">
        <v>300</v>
      </c>
      <c r="D398" t="e">
        <f>VLOOKUP(A:A,Incidencias!B:B,1,FALSE)</f>
        <v>#N/A</v>
      </c>
    </row>
    <row r="399" spans="1:4" x14ac:dyDescent="0.3">
      <c r="A399" s="145" t="s">
        <v>175</v>
      </c>
      <c r="B399" s="40">
        <v>8</v>
      </c>
      <c r="C399" t="s">
        <v>300</v>
      </c>
      <c r="D399" t="e">
        <f>VLOOKUP(A:A,Incidencias!B:B,1,FALSE)</f>
        <v>#N/A</v>
      </c>
    </row>
    <row r="400" spans="1:4" x14ac:dyDescent="0.3">
      <c r="A400" s="145" t="s">
        <v>175</v>
      </c>
      <c r="B400" s="40">
        <v>8</v>
      </c>
      <c r="C400" t="s">
        <v>300</v>
      </c>
      <c r="D400" t="e">
        <f>VLOOKUP(A:A,Incidencias!B:B,1,FALSE)</f>
        <v>#N/A</v>
      </c>
    </row>
    <row r="401" spans="1:4" x14ac:dyDescent="0.3">
      <c r="A401" s="145" t="s">
        <v>194</v>
      </c>
      <c r="B401" s="40">
        <v>4</v>
      </c>
      <c r="C401" t="s">
        <v>300</v>
      </c>
      <c r="D401" t="e">
        <f>VLOOKUP(A:A,Incidencias!B:B,1,FALSE)</f>
        <v>#N/A</v>
      </c>
    </row>
    <row r="402" spans="1:4" x14ac:dyDescent="0.3">
      <c r="A402" s="145" t="s">
        <v>277</v>
      </c>
      <c r="B402" s="40">
        <v>2</v>
      </c>
      <c r="C402" t="s">
        <v>300</v>
      </c>
      <c r="D402" t="e">
        <f>VLOOKUP(A:A,Incidencias!B:B,1,FALSE)</f>
        <v>#N/A</v>
      </c>
    </row>
    <row r="403" spans="1:4" x14ac:dyDescent="0.3">
      <c r="A403" s="145" t="s">
        <v>341</v>
      </c>
      <c r="B403" s="40">
        <v>3.5</v>
      </c>
      <c r="C403" t="s">
        <v>300</v>
      </c>
      <c r="D403" t="e">
        <f>VLOOKUP(A:A,Incidencias!B:B,1,FALSE)</f>
        <v>#N/A</v>
      </c>
    </row>
    <row r="404" spans="1:4" x14ac:dyDescent="0.3">
      <c r="A404" s="145" t="s">
        <v>277</v>
      </c>
      <c r="B404" s="40">
        <v>2.5</v>
      </c>
      <c r="C404" t="s">
        <v>300</v>
      </c>
      <c r="D404" t="e">
        <f>VLOOKUP(A:A,Incidencias!B:B,1,FALSE)</f>
        <v>#N/A</v>
      </c>
    </row>
    <row r="405" spans="1:4" x14ac:dyDescent="0.3">
      <c r="A405" s="145" t="s">
        <v>277</v>
      </c>
      <c r="B405" s="40">
        <v>5.5</v>
      </c>
      <c r="C405" t="s">
        <v>300</v>
      </c>
      <c r="D405" t="e">
        <f>VLOOKUP(A:A,Incidencias!B:B,1,FALSE)</f>
        <v>#N/A</v>
      </c>
    </row>
    <row r="406" spans="1:4" x14ac:dyDescent="0.3">
      <c r="A406" s="145" t="s">
        <v>277</v>
      </c>
      <c r="B406" s="40">
        <v>2.5</v>
      </c>
      <c r="C406" t="s">
        <v>300</v>
      </c>
      <c r="D406" t="e">
        <f>VLOOKUP(A:A,Incidencias!B:B,1,FALSE)</f>
        <v>#N/A</v>
      </c>
    </row>
    <row r="407" spans="1:4" x14ac:dyDescent="0.3">
      <c r="A407" s="145" t="s">
        <v>309</v>
      </c>
      <c r="B407" s="40">
        <v>3</v>
      </c>
      <c r="C407" t="s">
        <v>300</v>
      </c>
      <c r="D407" t="e">
        <f>VLOOKUP(A:A,Incidencias!B:B,1,FALSE)</f>
        <v>#N/A</v>
      </c>
    </row>
    <row r="408" spans="1:4" x14ac:dyDescent="0.3">
      <c r="A408" s="145" t="s">
        <v>342</v>
      </c>
      <c r="B408" s="40">
        <v>2.5</v>
      </c>
      <c r="C408" t="s">
        <v>300</v>
      </c>
      <c r="D408" t="e">
        <f>VLOOKUP(A:A,Incidencias!B:B,1,FALSE)</f>
        <v>#N/A</v>
      </c>
    </row>
    <row r="409" spans="1:4" x14ac:dyDescent="0.3">
      <c r="A409" s="145" t="s">
        <v>343</v>
      </c>
      <c r="B409" s="40">
        <v>2.5</v>
      </c>
      <c r="C409" t="s">
        <v>300</v>
      </c>
      <c r="D409" t="e">
        <f>VLOOKUP(A:A,Incidencias!B:B,1,FALSE)</f>
        <v>#N/A</v>
      </c>
    </row>
    <row r="410" spans="1:4" x14ac:dyDescent="0.3">
      <c r="A410" s="145" t="s">
        <v>296</v>
      </c>
      <c r="B410" s="40">
        <v>1</v>
      </c>
      <c r="C410" t="s">
        <v>300</v>
      </c>
      <c r="D410" t="e">
        <f>VLOOKUP(A:A,Incidencias!B:B,1,FALSE)</f>
        <v>#N/A</v>
      </c>
    </row>
    <row r="411" spans="1:4" x14ac:dyDescent="0.3">
      <c r="A411" s="145" t="s">
        <v>344</v>
      </c>
      <c r="B411" s="40">
        <v>2.5</v>
      </c>
      <c r="C411" t="s">
        <v>300</v>
      </c>
      <c r="D411" t="e">
        <f>VLOOKUP(A:A,Incidencias!B:B,1,FALSE)</f>
        <v>#N/A</v>
      </c>
    </row>
    <row r="412" spans="1:4" x14ac:dyDescent="0.3">
      <c r="A412" s="145" t="s">
        <v>338</v>
      </c>
      <c r="B412" s="40">
        <v>1.5</v>
      </c>
      <c r="C412" t="s">
        <v>300</v>
      </c>
      <c r="D412" t="e">
        <f>VLOOKUP(A:A,Incidencias!B:B,1,FALSE)</f>
        <v>#N/A</v>
      </c>
    </row>
    <row r="413" spans="1:4" x14ac:dyDescent="0.3">
      <c r="A413" s="145" t="s">
        <v>345</v>
      </c>
      <c r="B413" s="40">
        <v>2</v>
      </c>
      <c r="C413" t="s">
        <v>300</v>
      </c>
      <c r="D413" t="e">
        <f>VLOOKUP(A:A,Incidencias!B:B,1,FALSE)</f>
        <v>#N/A</v>
      </c>
    </row>
    <row r="414" spans="1:4" x14ac:dyDescent="0.3">
      <c r="A414" s="145" t="s">
        <v>346</v>
      </c>
      <c r="B414" s="40">
        <v>1</v>
      </c>
      <c r="C414" t="s">
        <v>300</v>
      </c>
      <c r="D414" t="e">
        <f>VLOOKUP(A:A,Incidencias!B:B,1,FALSE)</f>
        <v>#N/A</v>
      </c>
    </row>
    <row r="415" spans="1:4" x14ac:dyDescent="0.3">
      <c r="A415" s="145" t="s">
        <v>346</v>
      </c>
      <c r="B415" s="40">
        <v>3.5</v>
      </c>
      <c r="C415" t="s">
        <v>300</v>
      </c>
      <c r="D415" t="e">
        <f>VLOOKUP(A:A,Incidencias!B:B,1,FALSE)</f>
        <v>#N/A</v>
      </c>
    </row>
    <row r="416" spans="1:4" x14ac:dyDescent="0.3">
      <c r="A416" s="145" t="s">
        <v>347</v>
      </c>
      <c r="B416" s="40">
        <v>2</v>
      </c>
      <c r="C416" t="s">
        <v>300</v>
      </c>
      <c r="D416" t="e">
        <f>VLOOKUP(A:A,Incidencias!B:B,1,FALSE)</f>
        <v>#N/A</v>
      </c>
    </row>
    <row r="417" spans="1:4" x14ac:dyDescent="0.3">
      <c r="A417" s="145" t="s">
        <v>348</v>
      </c>
      <c r="B417" s="40">
        <v>2.5</v>
      </c>
      <c r="C417" t="s">
        <v>300</v>
      </c>
      <c r="D417" t="e">
        <f>VLOOKUP(A:A,Incidencias!B:B,1,FALSE)</f>
        <v>#N/A</v>
      </c>
    </row>
    <row r="418" spans="1:4" x14ac:dyDescent="0.3">
      <c r="A418" s="145" t="s">
        <v>156</v>
      </c>
      <c r="B418" s="40">
        <v>3</v>
      </c>
      <c r="C418" t="s">
        <v>300</v>
      </c>
      <c r="D418" t="e">
        <f>VLOOKUP(A:A,Incidencias!B:B,1,FALSE)</f>
        <v>#N/A</v>
      </c>
    </row>
    <row r="419" spans="1:4" x14ac:dyDescent="0.3">
      <c r="A419" s="145" t="s">
        <v>150</v>
      </c>
      <c r="B419" s="40">
        <v>3</v>
      </c>
      <c r="C419" t="s">
        <v>300</v>
      </c>
      <c r="D419" t="e">
        <f>VLOOKUP(A:A,Incidencias!B:B,1,FALSE)</f>
        <v>#N/A</v>
      </c>
    </row>
    <row r="420" spans="1:4" x14ac:dyDescent="0.3">
      <c r="A420" s="145" t="s">
        <v>206</v>
      </c>
      <c r="B420" s="40">
        <v>2</v>
      </c>
      <c r="C420" t="s">
        <v>300</v>
      </c>
      <c r="D420" t="e">
        <f>VLOOKUP(A:A,Incidencias!B:B,1,FALSE)</f>
        <v>#N/A</v>
      </c>
    </row>
    <row r="421" spans="1:4" x14ac:dyDescent="0.3">
      <c r="A421" s="145" t="s">
        <v>175</v>
      </c>
      <c r="B421" s="40">
        <v>3</v>
      </c>
      <c r="C421" t="s">
        <v>300</v>
      </c>
      <c r="D421" t="e">
        <f>VLOOKUP(A:A,Incidencias!B:B,1,FALSE)</f>
        <v>#N/A</v>
      </c>
    </row>
    <row r="422" spans="1:4" x14ac:dyDescent="0.3">
      <c r="A422" s="145" t="s">
        <v>175</v>
      </c>
      <c r="B422" s="40">
        <v>1</v>
      </c>
      <c r="C422" t="s">
        <v>300</v>
      </c>
      <c r="D422" t="e">
        <f>VLOOKUP(A:A,Incidencias!B:B,1,FALSE)</f>
        <v>#N/A</v>
      </c>
    </row>
    <row r="423" spans="1:4" x14ac:dyDescent="0.3">
      <c r="A423" s="145" t="s">
        <v>175</v>
      </c>
      <c r="B423" s="40">
        <v>2</v>
      </c>
      <c r="C423" t="s">
        <v>300</v>
      </c>
      <c r="D423" t="e">
        <f>VLOOKUP(A:A,Incidencias!B:B,1,FALSE)</f>
        <v>#N/A</v>
      </c>
    </row>
    <row r="424" spans="1:4" x14ac:dyDescent="0.3">
      <c r="A424" s="145" t="s">
        <v>175</v>
      </c>
      <c r="B424" s="40">
        <v>2</v>
      </c>
      <c r="C424" t="s">
        <v>300</v>
      </c>
      <c r="D424" t="e">
        <f>VLOOKUP(A:A,Incidencias!B:B,1,FALSE)</f>
        <v>#N/A</v>
      </c>
    </row>
    <row r="425" spans="1:4" x14ac:dyDescent="0.3">
      <c r="A425" s="145" t="s">
        <v>349</v>
      </c>
      <c r="B425" s="40">
        <v>2</v>
      </c>
      <c r="C425" t="s">
        <v>300</v>
      </c>
      <c r="D425" t="e">
        <f>VLOOKUP(A:A,Incidencias!B:B,1,FALSE)</f>
        <v>#N/A</v>
      </c>
    </row>
    <row r="426" spans="1:4" x14ac:dyDescent="0.3">
      <c r="A426" s="145" t="s">
        <v>349</v>
      </c>
      <c r="B426" s="40">
        <v>2</v>
      </c>
      <c r="C426" t="s">
        <v>300</v>
      </c>
      <c r="D426" t="e">
        <f>VLOOKUP(A:A,Incidencias!B:B,1,FALSE)</f>
        <v>#N/A</v>
      </c>
    </row>
    <row r="427" spans="1:4" x14ac:dyDescent="0.3">
      <c r="A427" s="145" t="s">
        <v>280</v>
      </c>
      <c r="B427" s="40">
        <v>4</v>
      </c>
      <c r="C427" t="s">
        <v>300</v>
      </c>
      <c r="D427" t="e">
        <f>VLOOKUP(A:A,Incidencias!B:B,1,FALSE)</f>
        <v>#N/A</v>
      </c>
    </row>
    <row r="428" spans="1:4" x14ac:dyDescent="0.3">
      <c r="A428" s="145" t="s">
        <v>280</v>
      </c>
      <c r="B428" s="40">
        <v>4</v>
      </c>
      <c r="C428" t="s">
        <v>300</v>
      </c>
      <c r="D428" t="e">
        <f>VLOOKUP(A:A,Incidencias!B:B,1,FALSE)</f>
        <v>#N/A</v>
      </c>
    </row>
    <row r="429" spans="1:4" x14ac:dyDescent="0.3">
      <c r="A429" s="145" t="s">
        <v>330</v>
      </c>
      <c r="B429" s="40">
        <v>4</v>
      </c>
      <c r="C429" t="s">
        <v>300</v>
      </c>
      <c r="D429" t="e">
        <f>VLOOKUP(A:A,Incidencias!B:B,1,FALSE)</f>
        <v>#N/A</v>
      </c>
    </row>
    <row r="430" spans="1:4" x14ac:dyDescent="0.3">
      <c r="A430" s="145" t="s">
        <v>350</v>
      </c>
      <c r="B430" s="40">
        <v>2</v>
      </c>
      <c r="C430" t="s">
        <v>300</v>
      </c>
      <c r="D430" t="e">
        <f>VLOOKUP(A:A,Incidencias!B:B,1,FALSE)</f>
        <v>#N/A</v>
      </c>
    </row>
    <row r="431" spans="1:4" x14ac:dyDescent="0.3">
      <c r="A431" s="145" t="s">
        <v>191</v>
      </c>
      <c r="B431" s="40">
        <v>2</v>
      </c>
      <c r="C431" t="s">
        <v>300</v>
      </c>
      <c r="D431" t="e">
        <f>VLOOKUP(A:A,Incidencias!B:B,1,FALSE)</f>
        <v>#N/A</v>
      </c>
    </row>
    <row r="432" spans="1:4" x14ac:dyDescent="0.3">
      <c r="A432" s="145" t="s">
        <v>351</v>
      </c>
      <c r="B432" s="40">
        <v>4.5</v>
      </c>
      <c r="C432" t="s">
        <v>300</v>
      </c>
      <c r="D432" t="e">
        <f>VLOOKUP(A:A,Incidencias!B:B,1,FALSE)</f>
        <v>#N/A</v>
      </c>
    </row>
    <row r="433" spans="1:4" x14ac:dyDescent="0.3">
      <c r="A433" s="145" t="s">
        <v>351</v>
      </c>
      <c r="B433" s="40">
        <v>3.5</v>
      </c>
      <c r="C433" t="s">
        <v>300</v>
      </c>
      <c r="D433" t="e">
        <f>VLOOKUP(A:A,Incidencias!B:B,1,FALSE)</f>
        <v>#N/A</v>
      </c>
    </row>
    <row r="434" spans="1:4" x14ac:dyDescent="0.3">
      <c r="A434" s="145" t="s">
        <v>352</v>
      </c>
      <c r="B434" s="40">
        <v>1</v>
      </c>
      <c r="C434" t="s">
        <v>300</v>
      </c>
      <c r="D434" t="e">
        <f>VLOOKUP(A:A,Incidencias!B:B,1,FALSE)</f>
        <v>#N/A</v>
      </c>
    </row>
    <row r="435" spans="1:4" x14ac:dyDescent="0.3">
      <c r="A435" s="145" t="s">
        <v>353</v>
      </c>
      <c r="B435" s="40">
        <v>1</v>
      </c>
      <c r="C435" t="s">
        <v>300</v>
      </c>
      <c r="D435" t="e">
        <f>VLOOKUP(A:A,Incidencias!B:B,1,FALSE)</f>
        <v>#N/A</v>
      </c>
    </row>
    <row r="436" spans="1:4" x14ac:dyDescent="0.3">
      <c r="A436" s="145" t="s">
        <v>353</v>
      </c>
      <c r="B436" s="40">
        <v>2</v>
      </c>
      <c r="C436" t="s">
        <v>300</v>
      </c>
      <c r="D436" t="e">
        <f>VLOOKUP(A:A,Incidencias!B:B,1,FALSE)</f>
        <v>#N/A</v>
      </c>
    </row>
    <row r="437" spans="1:4" x14ac:dyDescent="0.3">
      <c r="A437" s="145" t="s">
        <v>331</v>
      </c>
      <c r="B437" s="40">
        <v>2</v>
      </c>
      <c r="C437" t="s">
        <v>300</v>
      </c>
      <c r="D437" t="e">
        <f>VLOOKUP(A:A,Incidencias!B:B,1,FALSE)</f>
        <v>#N/A</v>
      </c>
    </row>
    <row r="438" spans="1:4" x14ac:dyDescent="0.3">
      <c r="A438" s="145" t="s">
        <v>331</v>
      </c>
      <c r="B438" s="40">
        <v>2</v>
      </c>
      <c r="C438" t="s">
        <v>300</v>
      </c>
      <c r="D438" t="e">
        <f>VLOOKUP(A:A,Incidencias!B:B,1,FALSE)</f>
        <v>#N/A</v>
      </c>
    </row>
    <row r="439" spans="1:4" x14ac:dyDescent="0.3">
      <c r="A439" s="145" t="s">
        <v>277</v>
      </c>
      <c r="B439" s="40">
        <v>3.5</v>
      </c>
      <c r="C439" t="s">
        <v>300</v>
      </c>
      <c r="D439" t="e">
        <f>VLOOKUP(A:A,Incidencias!B:B,1,FALSE)</f>
        <v>#N/A</v>
      </c>
    </row>
    <row r="440" spans="1:4" x14ac:dyDescent="0.3">
      <c r="A440" s="145" t="s">
        <v>354</v>
      </c>
      <c r="B440" s="40">
        <v>1.5</v>
      </c>
      <c r="C440" t="s">
        <v>300</v>
      </c>
      <c r="D440" t="e">
        <f>VLOOKUP(A:A,Incidencias!B:B,1,FALSE)</f>
        <v>#N/A</v>
      </c>
    </row>
    <row r="441" spans="1:4" x14ac:dyDescent="0.3">
      <c r="A441" s="145" t="s">
        <v>175</v>
      </c>
      <c r="B441" s="40">
        <v>1</v>
      </c>
      <c r="C441" t="s">
        <v>300</v>
      </c>
      <c r="D441" t="e">
        <f>VLOOKUP(A:A,Incidencias!B:B,1,FALSE)</f>
        <v>#N/A</v>
      </c>
    </row>
    <row r="442" spans="1:4" x14ac:dyDescent="0.3">
      <c r="A442" s="145" t="s">
        <v>334</v>
      </c>
      <c r="B442" s="40">
        <v>1</v>
      </c>
      <c r="C442" t="s">
        <v>300</v>
      </c>
      <c r="D442" t="e">
        <f>VLOOKUP(A:A,Incidencias!B:B,1,FALSE)</f>
        <v>#N/A</v>
      </c>
    </row>
    <row r="443" spans="1:4" x14ac:dyDescent="0.3">
      <c r="A443" s="145" t="s">
        <v>319</v>
      </c>
      <c r="B443" s="40">
        <v>1</v>
      </c>
      <c r="C443" t="s">
        <v>300</v>
      </c>
      <c r="D443" t="e">
        <f>VLOOKUP(A:A,Incidencias!B:B,1,FALSE)</f>
        <v>#N/A</v>
      </c>
    </row>
    <row r="444" spans="1:4" x14ac:dyDescent="0.3">
      <c r="A444" s="145" t="s">
        <v>277</v>
      </c>
      <c r="B444" s="40">
        <v>3.5</v>
      </c>
      <c r="C444" t="s">
        <v>300</v>
      </c>
      <c r="D444" t="e">
        <f>VLOOKUP(A:A,Incidencias!B:B,1,FALSE)</f>
        <v>#N/A</v>
      </c>
    </row>
    <row r="445" spans="1:4" x14ac:dyDescent="0.3">
      <c r="A445" s="145" t="s">
        <v>319</v>
      </c>
      <c r="B445" s="40">
        <v>1</v>
      </c>
      <c r="C445" t="s">
        <v>300</v>
      </c>
      <c r="D445" t="e">
        <f>VLOOKUP(A:A,Incidencias!B:B,1,FALSE)</f>
        <v>#N/A</v>
      </c>
    </row>
    <row r="446" spans="1:4" x14ac:dyDescent="0.3">
      <c r="A446" s="145" t="s">
        <v>355</v>
      </c>
      <c r="B446" s="40">
        <v>1</v>
      </c>
      <c r="C446" t="s">
        <v>300</v>
      </c>
      <c r="D446" t="e">
        <f>VLOOKUP(A:A,Incidencias!B:B,1,FALSE)</f>
        <v>#N/A</v>
      </c>
    </row>
    <row r="447" spans="1:4" x14ac:dyDescent="0.3">
      <c r="A447" s="145" t="s">
        <v>356</v>
      </c>
      <c r="B447" s="40">
        <v>0.5</v>
      </c>
      <c r="C447" t="s">
        <v>300</v>
      </c>
      <c r="D447" t="e">
        <f>VLOOKUP(A:A,Incidencias!B:B,1,FALSE)</f>
        <v>#N/A</v>
      </c>
    </row>
    <row r="448" spans="1:4" x14ac:dyDescent="0.3">
      <c r="A448" s="145" t="s">
        <v>309</v>
      </c>
      <c r="B448" s="40">
        <v>2</v>
      </c>
      <c r="C448" t="s">
        <v>300</v>
      </c>
      <c r="D448" t="e">
        <f>VLOOKUP(A:A,Incidencias!B:B,1,FALSE)</f>
        <v>#N/A</v>
      </c>
    </row>
    <row r="449" spans="1:4" x14ac:dyDescent="0.3">
      <c r="A449" s="145" t="s">
        <v>356</v>
      </c>
      <c r="B449" s="40">
        <v>1</v>
      </c>
      <c r="C449" t="s">
        <v>300</v>
      </c>
      <c r="D449" t="e">
        <f>VLOOKUP(A:A,Incidencias!B:B,1,FALSE)</f>
        <v>#N/A</v>
      </c>
    </row>
    <row r="450" spans="1:4" x14ac:dyDescent="0.3">
      <c r="A450" s="145" t="s">
        <v>313</v>
      </c>
      <c r="B450" s="40">
        <v>1</v>
      </c>
      <c r="C450" t="s">
        <v>300</v>
      </c>
      <c r="D450" t="e">
        <f>VLOOKUP(A:A,Incidencias!B:B,1,FALSE)</f>
        <v>#N/A</v>
      </c>
    </row>
    <row r="451" spans="1:4" x14ac:dyDescent="0.3">
      <c r="A451" s="145" t="s">
        <v>206</v>
      </c>
      <c r="B451" s="40">
        <v>1</v>
      </c>
      <c r="C451" t="s">
        <v>300</v>
      </c>
      <c r="D451" t="e">
        <f>VLOOKUP(A:A,Incidencias!B:B,1,FALSE)</f>
        <v>#N/A</v>
      </c>
    </row>
    <row r="452" spans="1:4" x14ac:dyDescent="0.3">
      <c r="A452" s="145" t="s">
        <v>353</v>
      </c>
      <c r="B452" s="40">
        <v>1</v>
      </c>
      <c r="C452" t="s">
        <v>300</v>
      </c>
      <c r="D452" t="e">
        <f>VLOOKUP(A:A,Incidencias!B:B,1,FALSE)</f>
        <v>#N/A</v>
      </c>
    </row>
    <row r="453" spans="1:4" x14ac:dyDescent="0.3">
      <c r="A453" s="145" t="s">
        <v>353</v>
      </c>
      <c r="B453" s="40">
        <v>1</v>
      </c>
      <c r="C453" t="s">
        <v>300</v>
      </c>
      <c r="D453" t="e">
        <f>VLOOKUP(A:A,Incidencias!B:B,1,FALSE)</f>
        <v>#N/A</v>
      </c>
    </row>
    <row r="454" spans="1:4" x14ac:dyDescent="0.3">
      <c r="A454" s="145" t="s">
        <v>241</v>
      </c>
      <c r="B454" s="40">
        <v>1.5</v>
      </c>
      <c r="C454" t="s">
        <v>300</v>
      </c>
      <c r="D454" t="e">
        <f>VLOOKUP(A:A,Incidencias!B:B,1,FALSE)</f>
        <v>#N/A</v>
      </c>
    </row>
    <row r="455" spans="1:4" x14ac:dyDescent="0.3">
      <c r="A455" s="145" t="s">
        <v>272</v>
      </c>
      <c r="B455" s="40">
        <v>1.5</v>
      </c>
      <c r="C455" t="s">
        <v>300</v>
      </c>
      <c r="D455" t="e">
        <f>VLOOKUP(A:A,Incidencias!B:B,1,FALSE)</f>
        <v>#N/A</v>
      </c>
    </row>
    <row r="456" spans="1:4" x14ac:dyDescent="0.3">
      <c r="A456" s="145" t="s">
        <v>206</v>
      </c>
      <c r="B456" s="40">
        <v>2</v>
      </c>
      <c r="C456" t="s">
        <v>300</v>
      </c>
      <c r="D456" t="e">
        <f>VLOOKUP(A:A,Incidencias!B:B,1,FALSE)</f>
        <v>#N/A</v>
      </c>
    </row>
    <row r="457" spans="1:4" x14ac:dyDescent="0.3">
      <c r="A457" s="145" t="s">
        <v>296</v>
      </c>
      <c r="B457" s="40">
        <v>1</v>
      </c>
      <c r="C457" t="s">
        <v>300</v>
      </c>
      <c r="D457" t="e">
        <f>VLOOKUP(A:A,Incidencias!B:B,1,FALSE)</f>
        <v>#N/A</v>
      </c>
    </row>
    <row r="458" spans="1:4" x14ac:dyDescent="0.3">
      <c r="A458" s="145" t="s">
        <v>355</v>
      </c>
      <c r="B458" s="40">
        <v>1.5</v>
      </c>
      <c r="C458" t="s">
        <v>300</v>
      </c>
      <c r="D458" t="e">
        <f>VLOOKUP(A:A,Incidencias!B:B,1,FALSE)</f>
        <v>#N/A</v>
      </c>
    </row>
    <row r="459" spans="1:4" x14ac:dyDescent="0.3">
      <c r="A459" s="145" t="s">
        <v>357</v>
      </c>
      <c r="B459" s="40">
        <v>2</v>
      </c>
      <c r="C459" t="s">
        <v>300</v>
      </c>
      <c r="D459" t="e">
        <f>VLOOKUP(A:A,Incidencias!B:B,1,FALSE)</f>
        <v>#N/A</v>
      </c>
    </row>
    <row r="460" spans="1:4" x14ac:dyDescent="0.3">
      <c r="A460" s="145" t="s">
        <v>338</v>
      </c>
      <c r="B460" s="40">
        <v>1.5</v>
      </c>
      <c r="C460" t="s">
        <v>300</v>
      </c>
      <c r="D460" t="e">
        <f>VLOOKUP(A:A,Incidencias!B:B,1,FALSE)</f>
        <v>#N/A</v>
      </c>
    </row>
    <row r="461" spans="1:4" x14ac:dyDescent="0.3">
      <c r="A461" s="145" t="s">
        <v>358</v>
      </c>
      <c r="B461" s="40">
        <v>2</v>
      </c>
      <c r="C461" t="s">
        <v>300</v>
      </c>
      <c r="D461" t="e">
        <f>VLOOKUP(A:A,Incidencias!B:B,1,FALSE)</f>
        <v>#N/A</v>
      </c>
    </row>
    <row r="462" spans="1:4" x14ac:dyDescent="0.3">
      <c r="A462" s="145" t="s">
        <v>359</v>
      </c>
      <c r="B462" s="40">
        <v>1</v>
      </c>
      <c r="C462" t="s">
        <v>300</v>
      </c>
      <c r="D462" t="e">
        <f>VLOOKUP(A:A,Incidencias!B:B,1,FALSE)</f>
        <v>#N/A</v>
      </c>
    </row>
    <row r="463" spans="1:4" x14ac:dyDescent="0.3">
      <c r="A463" s="145" t="s">
        <v>360</v>
      </c>
      <c r="B463" s="40">
        <v>1</v>
      </c>
      <c r="C463" t="s">
        <v>300</v>
      </c>
      <c r="D463" t="e">
        <f>VLOOKUP(A:A,Incidencias!B:B,1,FALSE)</f>
        <v>#N/A</v>
      </c>
    </row>
    <row r="464" spans="1:4" x14ac:dyDescent="0.3">
      <c r="A464" s="145" t="s">
        <v>361</v>
      </c>
      <c r="B464" s="40">
        <v>2</v>
      </c>
      <c r="C464" t="s">
        <v>300</v>
      </c>
      <c r="D464" t="e">
        <f>VLOOKUP(A:A,Incidencias!B:B,1,FALSE)</f>
        <v>#N/A</v>
      </c>
    </row>
    <row r="465" spans="1:4" x14ac:dyDescent="0.3">
      <c r="A465" s="145" t="s">
        <v>362</v>
      </c>
      <c r="B465" s="40">
        <v>2</v>
      </c>
      <c r="C465" t="s">
        <v>300</v>
      </c>
      <c r="D465" t="e">
        <f>VLOOKUP(A:A,Incidencias!B:B,1,FALSE)</f>
        <v>#N/A</v>
      </c>
    </row>
    <row r="466" spans="1:4" x14ac:dyDescent="0.3">
      <c r="A466" s="145" t="s">
        <v>241</v>
      </c>
      <c r="B466" s="40">
        <v>8</v>
      </c>
      <c r="C466" t="s">
        <v>300</v>
      </c>
      <c r="D466" t="e">
        <f>VLOOKUP(A:A,Incidencias!B:B,1,FALSE)</f>
        <v>#N/A</v>
      </c>
    </row>
    <row r="467" spans="1:4" x14ac:dyDescent="0.3">
      <c r="A467" s="145" t="s">
        <v>338</v>
      </c>
      <c r="B467" s="40">
        <v>8</v>
      </c>
      <c r="C467" t="s">
        <v>300</v>
      </c>
      <c r="D467" t="e">
        <f>VLOOKUP(A:A,Incidencias!B:B,1,FALSE)</f>
        <v>#N/A</v>
      </c>
    </row>
    <row r="468" spans="1:4" x14ac:dyDescent="0.3">
      <c r="A468" s="145" t="s">
        <v>277</v>
      </c>
      <c r="B468" s="40">
        <v>3</v>
      </c>
      <c r="C468" t="s">
        <v>300</v>
      </c>
      <c r="D468" t="e">
        <f>VLOOKUP(A:A,Incidencias!B:B,1,FALSE)</f>
        <v>#N/A</v>
      </c>
    </row>
    <row r="469" spans="1:4" x14ac:dyDescent="0.3">
      <c r="A469" t="s">
        <v>277</v>
      </c>
      <c r="B469" s="40">
        <v>5</v>
      </c>
      <c r="C469" t="s">
        <v>300</v>
      </c>
      <c r="D469" t="e">
        <f>VLOOKUP(A:A,Incidencias!B:B,1,FALSE)</f>
        <v>#N/A</v>
      </c>
    </row>
    <row r="470" spans="1:4" x14ac:dyDescent="0.3">
      <c r="A470" t="s">
        <v>277</v>
      </c>
      <c r="B470" s="40">
        <v>3</v>
      </c>
      <c r="C470" t="s">
        <v>300</v>
      </c>
      <c r="D470" t="e">
        <f>VLOOKUP(A:A,Incidencias!B:B,1,FALSE)</f>
        <v>#N/A</v>
      </c>
    </row>
    <row r="471" spans="1:4" x14ac:dyDescent="0.3">
      <c r="A471" t="s">
        <v>277</v>
      </c>
      <c r="B471" s="40">
        <v>5</v>
      </c>
      <c r="C471" t="s">
        <v>300</v>
      </c>
      <c r="D471" t="e">
        <f>VLOOKUP(A:A,Incidencias!B:B,1,FALSE)</f>
        <v>#N/A</v>
      </c>
    </row>
    <row r="472" spans="1:4" x14ac:dyDescent="0.3">
      <c r="A472" t="s">
        <v>313</v>
      </c>
      <c r="B472" s="40">
        <v>7.5</v>
      </c>
      <c r="C472" t="s">
        <v>300</v>
      </c>
      <c r="D472" t="e">
        <f>VLOOKUP(A:A,Incidencias!B:B,1,FALSE)</f>
        <v>#N/A</v>
      </c>
    </row>
    <row r="473" spans="1:4" x14ac:dyDescent="0.3">
      <c r="A473" t="s">
        <v>361</v>
      </c>
      <c r="B473" s="40">
        <v>0.5</v>
      </c>
      <c r="C473" t="s">
        <v>300</v>
      </c>
      <c r="D473" t="e">
        <f>VLOOKUP(A:A,Incidencias!B:B,1,FALSE)</f>
        <v>#N/A</v>
      </c>
    </row>
    <row r="474" spans="1:4" x14ac:dyDescent="0.3">
      <c r="A474" t="s">
        <v>363</v>
      </c>
      <c r="B474" s="40">
        <v>3.5</v>
      </c>
      <c r="C474" t="s">
        <v>300</v>
      </c>
      <c r="D474" t="e">
        <f>VLOOKUP(A:A,Incidencias!B:B,1,FALSE)</f>
        <v>#N/A</v>
      </c>
    </row>
    <row r="475" spans="1:4" x14ac:dyDescent="0.3">
      <c r="A475" t="s">
        <v>346</v>
      </c>
      <c r="B475" s="40">
        <v>4.5</v>
      </c>
      <c r="C475" t="s">
        <v>300</v>
      </c>
      <c r="D475" t="e">
        <f>VLOOKUP(A:A,Incidencias!B:B,1,FALSE)</f>
        <v>#N/A</v>
      </c>
    </row>
    <row r="476" spans="1:4" x14ac:dyDescent="0.3">
      <c r="A476" t="s">
        <v>336</v>
      </c>
      <c r="B476" s="40">
        <v>7.5</v>
      </c>
      <c r="C476" t="s">
        <v>300</v>
      </c>
      <c r="D476" t="e">
        <f>VLOOKUP(A:A,Incidencias!B:B,1,FALSE)</f>
        <v>#N/A</v>
      </c>
    </row>
    <row r="477" spans="1:4" x14ac:dyDescent="0.3">
      <c r="A477" t="s">
        <v>337</v>
      </c>
      <c r="B477" s="40">
        <v>0.5</v>
      </c>
      <c r="C477" t="s">
        <v>300</v>
      </c>
      <c r="D477" t="e">
        <f>VLOOKUP(A:A,Incidencias!B:B,1,FALSE)</f>
        <v>#N/A</v>
      </c>
    </row>
    <row r="478" spans="1:4" x14ac:dyDescent="0.3">
      <c r="A478" t="s">
        <v>364</v>
      </c>
      <c r="B478" s="40">
        <v>7.5</v>
      </c>
      <c r="C478" t="s">
        <v>300</v>
      </c>
      <c r="D478" t="e">
        <f>VLOOKUP(A:A,Incidencias!B:B,1,FALSE)</f>
        <v>#N/A</v>
      </c>
    </row>
    <row r="479" spans="1:4" x14ac:dyDescent="0.3">
      <c r="A479" t="s">
        <v>308</v>
      </c>
      <c r="B479" s="40">
        <v>0.5</v>
      </c>
      <c r="C479" t="s">
        <v>300</v>
      </c>
      <c r="D479" t="e">
        <f>VLOOKUP(A:A,Incidencias!B:B,1,FALSE)</f>
        <v>#N/A</v>
      </c>
    </row>
    <row r="480" spans="1:4" x14ac:dyDescent="0.3">
      <c r="A480" t="s">
        <v>365</v>
      </c>
      <c r="B480" s="40">
        <v>2</v>
      </c>
      <c r="C480" t="s">
        <v>300</v>
      </c>
      <c r="D480" t="e">
        <f>VLOOKUP(A:A,Incidencias!B:B,1,FALSE)</f>
        <v>#N/A</v>
      </c>
    </row>
    <row r="481" spans="1:4" x14ac:dyDescent="0.3">
      <c r="A481" t="s">
        <v>150</v>
      </c>
      <c r="B481" s="40">
        <v>2</v>
      </c>
      <c r="C481" t="s">
        <v>300</v>
      </c>
      <c r="D481" t="e">
        <f>VLOOKUP(A:A,Incidencias!B:B,1,FALSE)</f>
        <v>#N/A</v>
      </c>
    </row>
    <row r="482" spans="1:4" x14ac:dyDescent="0.3">
      <c r="A482" t="s">
        <v>366</v>
      </c>
      <c r="B482" s="40">
        <v>2</v>
      </c>
      <c r="C482" t="s">
        <v>300</v>
      </c>
      <c r="D482" t="e">
        <f>VLOOKUP(A:A,Incidencias!B:B,1,FALSE)</f>
        <v>#N/A</v>
      </c>
    </row>
    <row r="483" spans="1:4" x14ac:dyDescent="0.3">
      <c r="A483" t="s">
        <v>367</v>
      </c>
      <c r="B483" s="40">
        <v>2</v>
      </c>
      <c r="C483" t="s">
        <v>300</v>
      </c>
      <c r="D483" t="e">
        <f>VLOOKUP(A:A,Incidencias!B:B,1,FALSE)</f>
        <v>#N/A</v>
      </c>
    </row>
    <row r="484" spans="1:4" x14ac:dyDescent="0.3">
      <c r="A484" t="s">
        <v>349</v>
      </c>
      <c r="B484" s="40">
        <v>4</v>
      </c>
      <c r="C484" t="s">
        <v>300</v>
      </c>
      <c r="D484" t="e">
        <f>VLOOKUP(A:A,Incidencias!B:B,1,FALSE)</f>
        <v>#N/A</v>
      </c>
    </row>
    <row r="485" spans="1:4" x14ac:dyDescent="0.3">
      <c r="A485" t="s">
        <v>175</v>
      </c>
      <c r="B485" s="40">
        <v>1</v>
      </c>
      <c r="C485" t="s">
        <v>300</v>
      </c>
      <c r="D485" t="e">
        <f>VLOOKUP(A:A,Incidencias!B:B,1,FALSE)</f>
        <v>#N/A</v>
      </c>
    </row>
    <row r="486" spans="1:4" x14ac:dyDescent="0.3">
      <c r="A486" t="s">
        <v>175</v>
      </c>
      <c r="B486" s="40">
        <v>3</v>
      </c>
      <c r="C486" t="s">
        <v>300</v>
      </c>
      <c r="D486" t="e">
        <f>VLOOKUP(A:A,Incidencias!B:B,1,FALSE)</f>
        <v>#N/A</v>
      </c>
    </row>
    <row r="487" spans="1:4" x14ac:dyDescent="0.3">
      <c r="A487" t="s">
        <v>288</v>
      </c>
      <c r="B487" s="40">
        <v>4</v>
      </c>
      <c r="C487" t="s">
        <v>300</v>
      </c>
      <c r="D487" t="e">
        <f>VLOOKUP(A:A,Incidencias!B:B,1,FALSE)</f>
        <v>#N/A</v>
      </c>
    </row>
    <row r="488" spans="1:4" x14ac:dyDescent="0.3">
      <c r="A488" t="s">
        <v>288</v>
      </c>
      <c r="B488" s="40">
        <v>2.5</v>
      </c>
      <c r="C488" t="s">
        <v>300</v>
      </c>
      <c r="D488" t="e">
        <f>VLOOKUP(A:A,Incidencias!B:B,1,FALSE)</f>
        <v>#N/A</v>
      </c>
    </row>
    <row r="489" spans="1:4" x14ac:dyDescent="0.3">
      <c r="A489" t="s">
        <v>368</v>
      </c>
      <c r="B489" s="40">
        <v>1.5</v>
      </c>
      <c r="C489" t="s">
        <v>300</v>
      </c>
      <c r="D489" t="e">
        <f>VLOOKUP(A:A,Incidencias!B:B,1,FALSE)</f>
        <v>#N/A</v>
      </c>
    </row>
    <row r="490" spans="1:4" x14ac:dyDescent="0.3">
      <c r="A490" t="s">
        <v>369</v>
      </c>
      <c r="B490" s="40">
        <v>4.5</v>
      </c>
      <c r="C490" t="s">
        <v>300</v>
      </c>
      <c r="D490" t="e">
        <f>VLOOKUP(A:A,Incidencias!B:B,1,FALSE)</f>
        <v>#N/A</v>
      </c>
    </row>
    <row r="491" spans="1:4" x14ac:dyDescent="0.3">
      <c r="A491" t="s">
        <v>369</v>
      </c>
      <c r="B491" s="40">
        <v>3.5</v>
      </c>
      <c r="C491" t="s">
        <v>300</v>
      </c>
      <c r="D491" t="e">
        <f>VLOOKUP(A:A,Incidencias!B:B,1,FALSE)</f>
        <v>#N/A</v>
      </c>
    </row>
    <row r="492" spans="1:4" x14ac:dyDescent="0.3">
      <c r="A492" t="s">
        <v>194</v>
      </c>
      <c r="B492" s="40">
        <v>4</v>
      </c>
      <c r="C492" t="s">
        <v>300</v>
      </c>
      <c r="D492" t="e">
        <f>VLOOKUP(A:A,Incidencias!B:B,1,FALSE)</f>
        <v>#N/A</v>
      </c>
    </row>
    <row r="493" spans="1:4" x14ac:dyDescent="0.3">
      <c r="A493" t="s">
        <v>368</v>
      </c>
      <c r="B493" s="40">
        <v>4</v>
      </c>
      <c r="C493" t="s">
        <v>300</v>
      </c>
      <c r="D493" t="e">
        <f>VLOOKUP(A:A,Incidencias!B:B,1,FALSE)</f>
        <v>#N/A</v>
      </c>
    </row>
    <row r="494" spans="1:4" x14ac:dyDescent="0.3">
      <c r="A494" t="s">
        <v>370</v>
      </c>
      <c r="B494" s="40">
        <v>5</v>
      </c>
      <c r="C494" t="s">
        <v>300</v>
      </c>
      <c r="D494" t="e">
        <f>VLOOKUP(A:A,Incidencias!B:B,1,FALSE)</f>
        <v>#N/A</v>
      </c>
    </row>
    <row r="495" spans="1:4" x14ac:dyDescent="0.3">
      <c r="A495" t="s">
        <v>370</v>
      </c>
      <c r="B495" s="40">
        <v>3</v>
      </c>
      <c r="C495" t="s">
        <v>300</v>
      </c>
      <c r="D495" t="e">
        <f>VLOOKUP(A:A,Incidencias!B:B,1,FALSE)</f>
        <v>#N/A</v>
      </c>
    </row>
    <row r="496" spans="1:4" x14ac:dyDescent="0.3">
      <c r="A496" t="s">
        <v>354</v>
      </c>
      <c r="B496" s="40">
        <v>5</v>
      </c>
      <c r="C496" t="s">
        <v>300</v>
      </c>
      <c r="D496" t="e">
        <f>VLOOKUP(A:A,Incidencias!B:B,1,FALSE)</f>
        <v>#N/A</v>
      </c>
    </row>
    <row r="497" spans="1:4" x14ac:dyDescent="0.3">
      <c r="A497" t="s">
        <v>354</v>
      </c>
      <c r="B497" s="40">
        <v>3</v>
      </c>
      <c r="C497" t="s">
        <v>300</v>
      </c>
      <c r="D497" t="e">
        <f>VLOOKUP(A:A,Incidencias!B:B,1,FALSE)</f>
        <v>#N/A</v>
      </c>
    </row>
    <row r="498" spans="1:4" x14ac:dyDescent="0.3">
      <c r="A498" t="s">
        <v>364</v>
      </c>
      <c r="B498" s="40">
        <v>8</v>
      </c>
      <c r="C498" t="s">
        <v>300</v>
      </c>
      <c r="D498" t="e">
        <f>VLOOKUP(A:A,Incidencias!B:B,1,FALSE)</f>
        <v>#N/A</v>
      </c>
    </row>
    <row r="499" spans="1:4" x14ac:dyDescent="0.3">
      <c r="A499" t="s">
        <v>371</v>
      </c>
      <c r="B499" s="40">
        <v>1</v>
      </c>
      <c r="C499" t="s">
        <v>300</v>
      </c>
      <c r="D499" t="e">
        <f>VLOOKUP(A:A,Incidencias!B:B,1,FALSE)</f>
        <v>#N/A</v>
      </c>
    </row>
    <row r="500" spans="1:4" x14ac:dyDescent="0.3">
      <c r="A500" t="s">
        <v>372</v>
      </c>
      <c r="B500" s="40">
        <v>3</v>
      </c>
      <c r="C500" t="s">
        <v>300</v>
      </c>
      <c r="D500" t="e">
        <f>VLOOKUP(A:A,Incidencias!B:B,1,FALSE)</f>
        <v>#N/A</v>
      </c>
    </row>
    <row r="501" spans="1:4" x14ac:dyDescent="0.3">
      <c r="A501" t="s">
        <v>373</v>
      </c>
      <c r="B501" s="40">
        <v>2</v>
      </c>
      <c r="C501" t="s">
        <v>300</v>
      </c>
      <c r="D501" t="e">
        <f>VLOOKUP(A:A,Incidencias!B:B,1,FALSE)</f>
        <v>#N/A</v>
      </c>
    </row>
    <row r="502" spans="1:4" x14ac:dyDescent="0.3">
      <c r="A502" t="s">
        <v>277</v>
      </c>
      <c r="B502" s="40">
        <v>2</v>
      </c>
      <c r="C502" t="s">
        <v>300</v>
      </c>
      <c r="D502" t="e">
        <f>VLOOKUP(A:A,Incidencias!B:B,1,FALSE)</f>
        <v>#N/A</v>
      </c>
    </row>
    <row r="503" spans="1:4" x14ac:dyDescent="0.3">
      <c r="A503" t="s">
        <v>374</v>
      </c>
      <c r="B503" s="40">
        <v>8</v>
      </c>
      <c r="C503" t="s">
        <v>300</v>
      </c>
      <c r="D503" t="e">
        <f>VLOOKUP(A:A,Incidencias!B:B,1,FALSE)</f>
        <v>#N/A</v>
      </c>
    </row>
    <row r="504" spans="1:4" x14ac:dyDescent="0.3">
      <c r="A504" t="s">
        <v>374</v>
      </c>
      <c r="B504" s="40">
        <v>8</v>
      </c>
      <c r="C504" t="s">
        <v>300</v>
      </c>
      <c r="D504" t="e">
        <f>VLOOKUP(A:A,Incidencias!B:B,1,FALSE)</f>
        <v>#N/A</v>
      </c>
    </row>
    <row r="505" spans="1:4" x14ac:dyDescent="0.3">
      <c r="A505" t="s">
        <v>277</v>
      </c>
      <c r="B505" s="40">
        <v>3</v>
      </c>
      <c r="C505" t="s">
        <v>300</v>
      </c>
      <c r="D505" t="e">
        <f>VLOOKUP(A:A,Incidencias!B:B,1,FALSE)</f>
        <v>#N/A</v>
      </c>
    </row>
    <row r="506" spans="1:4" x14ac:dyDescent="0.3">
      <c r="A506" t="s">
        <v>277</v>
      </c>
      <c r="B506" s="40">
        <v>5</v>
      </c>
      <c r="C506" t="s">
        <v>300</v>
      </c>
      <c r="D506" t="e">
        <f>VLOOKUP(A:A,Incidencias!B:B,1,FALSE)</f>
        <v>#N/A</v>
      </c>
    </row>
    <row r="507" spans="1:4" x14ac:dyDescent="0.3">
      <c r="A507" t="s">
        <v>336</v>
      </c>
      <c r="B507" s="40">
        <v>3</v>
      </c>
      <c r="C507" t="s">
        <v>300</v>
      </c>
      <c r="D507" t="e">
        <f>VLOOKUP(A:A,Incidencias!B:B,1,FALSE)</f>
        <v>#N/A</v>
      </c>
    </row>
    <row r="508" spans="1:4" x14ac:dyDescent="0.3">
      <c r="A508" t="s">
        <v>363</v>
      </c>
      <c r="B508" s="40">
        <v>3</v>
      </c>
      <c r="C508" t="s">
        <v>300</v>
      </c>
      <c r="D508" t="e">
        <f>VLOOKUP(A:A,Incidencias!B:B,1,FALSE)</f>
        <v>#N/A</v>
      </c>
    </row>
    <row r="509" spans="1:4" x14ac:dyDescent="0.3">
      <c r="A509" t="s">
        <v>375</v>
      </c>
      <c r="B509" s="40">
        <v>0.5</v>
      </c>
      <c r="C509" t="s">
        <v>300</v>
      </c>
      <c r="D509" t="e">
        <f>VLOOKUP(A:A,Incidencias!B:B,1,FALSE)</f>
        <v>#N/A</v>
      </c>
    </row>
    <row r="510" spans="1:4" x14ac:dyDescent="0.3">
      <c r="A510" t="s">
        <v>150</v>
      </c>
      <c r="B510" s="40">
        <v>1</v>
      </c>
      <c r="C510" t="s">
        <v>300</v>
      </c>
      <c r="D510" t="e">
        <f>VLOOKUP(A:A,Incidencias!B:B,1,FALSE)</f>
        <v>#N/A</v>
      </c>
    </row>
    <row r="511" spans="1:4" x14ac:dyDescent="0.3">
      <c r="A511" t="s">
        <v>376</v>
      </c>
      <c r="B511" s="40">
        <v>0.5</v>
      </c>
      <c r="C511" t="s">
        <v>300</v>
      </c>
      <c r="D511" t="e">
        <f>VLOOKUP(A:A,Incidencias!B:B,1,FALSE)</f>
        <v>#N/A</v>
      </c>
    </row>
    <row r="512" spans="1:4" x14ac:dyDescent="0.3">
      <c r="A512" t="s">
        <v>286</v>
      </c>
      <c r="B512" s="40">
        <v>4.5</v>
      </c>
      <c r="C512" t="s">
        <v>300</v>
      </c>
      <c r="D512" t="e">
        <f>VLOOKUP(A:A,Incidencias!B:B,1,FALSE)</f>
        <v>#N/A</v>
      </c>
    </row>
    <row r="513" spans="1:4" x14ac:dyDescent="0.3">
      <c r="A513" t="s">
        <v>286</v>
      </c>
      <c r="B513" s="40">
        <v>3.5</v>
      </c>
      <c r="C513" t="s">
        <v>300</v>
      </c>
      <c r="D513" t="e">
        <f>VLOOKUP(A:A,Incidencias!B:B,1,FALSE)</f>
        <v>#N/A</v>
      </c>
    </row>
    <row r="514" spans="1:4" x14ac:dyDescent="0.3">
      <c r="A514" t="s">
        <v>369</v>
      </c>
      <c r="B514" s="40">
        <v>0.5</v>
      </c>
      <c r="C514" t="s">
        <v>300</v>
      </c>
      <c r="D514" t="e">
        <f>VLOOKUP(A:A,Incidencias!B:B,1,FALSE)</f>
        <v>#N/A</v>
      </c>
    </row>
    <row r="515" spans="1:4" x14ac:dyDescent="0.3">
      <c r="A515" t="s">
        <v>377</v>
      </c>
      <c r="B515" s="40">
        <v>1</v>
      </c>
      <c r="C515" t="s">
        <v>300</v>
      </c>
      <c r="D515" t="e">
        <f>VLOOKUP(A:A,Incidencias!B:B,1,FALSE)</f>
        <v>#N/A</v>
      </c>
    </row>
    <row r="516" spans="1:4" x14ac:dyDescent="0.3">
      <c r="A516" t="s">
        <v>331</v>
      </c>
      <c r="B516" s="40">
        <v>0.5</v>
      </c>
      <c r="C516" t="s">
        <v>300</v>
      </c>
      <c r="D516" t="e">
        <f>VLOOKUP(A:A,Incidencias!B:B,1,FALSE)</f>
        <v>#N/A</v>
      </c>
    </row>
    <row r="517" spans="1:4" x14ac:dyDescent="0.3">
      <c r="A517" t="s">
        <v>368</v>
      </c>
      <c r="B517" s="40">
        <v>0.5</v>
      </c>
      <c r="C517" t="s">
        <v>300</v>
      </c>
      <c r="D517" t="e">
        <f>VLOOKUP(A:A,Incidencias!B:B,1,FALSE)</f>
        <v>#N/A</v>
      </c>
    </row>
    <row r="518" spans="1:4" x14ac:dyDescent="0.3">
      <c r="A518" t="s">
        <v>280</v>
      </c>
      <c r="B518" s="40">
        <v>1</v>
      </c>
      <c r="C518" t="s">
        <v>300</v>
      </c>
      <c r="D518" t="e">
        <f>VLOOKUP(A:A,Incidencias!B:B,1,FALSE)</f>
        <v>#N/A</v>
      </c>
    </row>
    <row r="519" spans="1:4" x14ac:dyDescent="0.3">
      <c r="A519" t="s">
        <v>378</v>
      </c>
      <c r="B519" s="40">
        <v>2</v>
      </c>
      <c r="C519" t="s">
        <v>300</v>
      </c>
      <c r="D519" t="e">
        <f>VLOOKUP(A:A,Incidencias!B:B,1,FALSE)</f>
        <v>#N/A</v>
      </c>
    </row>
    <row r="520" spans="1:4" x14ac:dyDescent="0.3">
      <c r="A520" t="s">
        <v>277</v>
      </c>
      <c r="B520" s="40">
        <v>2.5</v>
      </c>
      <c r="C520" t="s">
        <v>300</v>
      </c>
      <c r="D520" t="e">
        <f>VLOOKUP(A:A,Incidencias!B:B,1,FALSE)</f>
        <v>#N/A</v>
      </c>
    </row>
    <row r="521" spans="1:4" x14ac:dyDescent="0.3">
      <c r="A521" t="s">
        <v>372</v>
      </c>
      <c r="B521" s="40">
        <v>8</v>
      </c>
      <c r="C521" t="s">
        <v>300</v>
      </c>
      <c r="D521" t="e">
        <f>VLOOKUP(A:A,Incidencias!B:B,1,FALSE)</f>
        <v>#N/A</v>
      </c>
    </row>
  </sheetData>
  <autoFilter ref="A1:D521" xr:uid="{14A7156D-3E58-4905-B23D-4623BEFE5AC5}"/>
  <sortState xmlns:xlrd2="http://schemas.microsoft.com/office/spreadsheetml/2017/richdata2" ref="A2:B279">
    <sortCondition ref="A2:A279"/>
  </sortState>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7679-CEA6-4D54-B110-D7B9FC6AB2A3}">
  <dimension ref="A1:H208"/>
  <sheetViews>
    <sheetView showGridLines="0" workbookViewId="0">
      <selection activeCell="A3" sqref="A3:B14"/>
    </sheetView>
  </sheetViews>
  <sheetFormatPr baseColWidth="10" defaultColWidth="11.44140625" defaultRowHeight="13.8" x14ac:dyDescent="0.25"/>
  <cols>
    <col min="1" max="1" width="18.6640625" style="8" bestFit="1" customWidth="1"/>
    <col min="2" max="2" width="12.33203125" style="8" bestFit="1" customWidth="1"/>
    <col min="3" max="3" width="11" style="8" bestFit="1" customWidth="1"/>
    <col min="4" max="4" width="5.6640625" style="8" customWidth="1"/>
    <col min="5" max="5" width="18.6640625" style="8" bestFit="1" customWidth="1"/>
    <col min="6" max="6" width="12.33203125" style="8" bestFit="1" customWidth="1"/>
    <col min="7" max="7" width="11" style="8" bestFit="1" customWidth="1"/>
    <col min="8" max="16384" width="11.44140625" style="8"/>
  </cols>
  <sheetData>
    <row r="1" spans="1:8" x14ac:dyDescent="0.25">
      <c r="A1" s="207" t="s">
        <v>379</v>
      </c>
      <c r="B1" s="207"/>
      <c r="C1" s="207"/>
      <c r="E1" s="207" t="s">
        <v>380</v>
      </c>
      <c r="F1" s="207"/>
      <c r="G1" s="207"/>
    </row>
    <row r="2" spans="1:8" ht="14.4" customHeight="1" x14ac:dyDescent="0.25"/>
    <row r="3" spans="1:8" x14ac:dyDescent="0.25">
      <c r="A3" s="174" t="s">
        <v>26</v>
      </c>
      <c r="B3" s="175" t="s">
        <v>381</v>
      </c>
      <c r="E3" s="174" t="s">
        <v>26</v>
      </c>
      <c r="F3" s="175" t="s">
        <v>381</v>
      </c>
    </row>
    <row r="5" spans="1:8" x14ac:dyDescent="0.25">
      <c r="A5" s="174" t="s">
        <v>33</v>
      </c>
      <c r="B5" s="174" t="s">
        <v>34</v>
      </c>
      <c r="C5" s="174" t="s">
        <v>24</v>
      </c>
      <c r="E5" s="174" t="s">
        <v>33</v>
      </c>
      <c r="F5" s="174" t="s">
        <v>34</v>
      </c>
      <c r="G5" s="174" t="s">
        <v>24</v>
      </c>
    </row>
    <row r="6" spans="1:8" x14ac:dyDescent="0.25">
      <c r="A6" s="175" t="s">
        <v>381</v>
      </c>
      <c r="B6" s="175" t="s">
        <v>381</v>
      </c>
      <c r="C6" s="175" t="s">
        <v>381</v>
      </c>
      <c r="E6" s="175" t="s">
        <v>381</v>
      </c>
      <c r="F6" s="175" t="s">
        <v>381</v>
      </c>
      <c r="G6" s="175" t="s">
        <v>381</v>
      </c>
      <c r="H6" s="11"/>
    </row>
    <row r="7" spans="1:8" ht="14.4" x14ac:dyDescent="0.3">
      <c r="A7"/>
      <c r="B7"/>
      <c r="C7"/>
      <c r="E7"/>
      <c r="F7"/>
      <c r="G7"/>
    </row>
    <row r="8" spans="1:8" ht="14.4" x14ac:dyDescent="0.3">
      <c r="A8"/>
      <c r="B8"/>
      <c r="C8"/>
      <c r="E8"/>
      <c r="F8"/>
      <c r="G8"/>
    </row>
    <row r="9" spans="1:8" ht="14.4" x14ac:dyDescent="0.3">
      <c r="A9"/>
      <c r="B9"/>
      <c r="C9"/>
      <c r="E9"/>
      <c r="F9"/>
      <c r="G9"/>
    </row>
    <row r="10" spans="1:8" ht="14.4" x14ac:dyDescent="0.3">
      <c r="A10"/>
      <c r="B10"/>
      <c r="C10"/>
      <c r="E10"/>
      <c r="F10"/>
      <c r="G10"/>
    </row>
    <row r="11" spans="1:8" ht="14.4" x14ac:dyDescent="0.3">
      <c r="A11"/>
      <c r="B11"/>
      <c r="C11"/>
      <c r="E11"/>
      <c r="F11"/>
      <c r="G11"/>
    </row>
    <row r="12" spans="1:8" ht="14.4" x14ac:dyDescent="0.3">
      <c r="A12"/>
      <c r="B12"/>
      <c r="C12"/>
      <c r="E12"/>
      <c r="F12"/>
      <c r="G12"/>
    </row>
    <row r="13" spans="1:8" ht="14.4" x14ac:dyDescent="0.3">
      <c r="A13"/>
      <c r="B13"/>
      <c r="C13"/>
      <c r="E13"/>
      <c r="F13"/>
      <c r="G13"/>
    </row>
    <row r="14" spans="1:8" ht="14.4" x14ac:dyDescent="0.3">
      <c r="A14"/>
      <c r="B14"/>
      <c r="C14"/>
      <c r="E14"/>
      <c r="F14"/>
      <c r="G14"/>
    </row>
    <row r="15" spans="1:8" ht="14.4" x14ac:dyDescent="0.3">
      <c r="A15"/>
      <c r="B15"/>
      <c r="C15"/>
      <c r="E15"/>
      <c r="F15"/>
      <c r="G15"/>
    </row>
    <row r="16" spans="1:8" ht="14.4" x14ac:dyDescent="0.3">
      <c r="A16"/>
      <c r="B16"/>
      <c r="C16"/>
      <c r="E16"/>
      <c r="F16"/>
      <c r="G16"/>
    </row>
    <row r="17" spans="1:7" ht="14.4" x14ac:dyDescent="0.3">
      <c r="A17"/>
      <c r="B17"/>
      <c r="C17"/>
      <c r="E17"/>
      <c r="F17"/>
      <c r="G17"/>
    </row>
    <row r="18" spans="1:7" ht="14.4" x14ac:dyDescent="0.3">
      <c r="A18"/>
      <c r="B18"/>
      <c r="C18"/>
      <c r="E18"/>
      <c r="F18"/>
      <c r="G18"/>
    </row>
    <row r="19" spans="1:7" ht="14.4" x14ac:dyDescent="0.3">
      <c r="A19"/>
      <c r="B19"/>
      <c r="C19"/>
      <c r="E19"/>
      <c r="F19"/>
      <c r="G19"/>
    </row>
    <row r="20" spans="1:7" ht="14.4" x14ac:dyDescent="0.3">
      <c r="A20"/>
      <c r="B20"/>
      <c r="C20"/>
      <c r="E20"/>
      <c r="F20"/>
      <c r="G20"/>
    </row>
    <row r="21" spans="1:7" ht="14.4" x14ac:dyDescent="0.3">
      <c r="A21"/>
      <c r="B21"/>
      <c r="C21"/>
      <c r="E21"/>
      <c r="F21"/>
      <c r="G21"/>
    </row>
    <row r="22" spans="1:7" ht="14.4" x14ac:dyDescent="0.3">
      <c r="A22"/>
      <c r="B22"/>
      <c r="C22"/>
      <c r="E22"/>
      <c r="F22"/>
      <c r="G22"/>
    </row>
    <row r="23" spans="1:7" ht="14.4" x14ac:dyDescent="0.3">
      <c r="A23"/>
      <c r="B23"/>
      <c r="C23"/>
      <c r="E23"/>
      <c r="F23"/>
      <c r="G23"/>
    </row>
    <row r="24" spans="1:7" ht="14.4" x14ac:dyDescent="0.3">
      <c r="A24"/>
      <c r="B24"/>
      <c r="C24"/>
      <c r="E24"/>
      <c r="F24"/>
      <c r="G24"/>
    </row>
    <row r="25" spans="1:7" ht="14.4" x14ac:dyDescent="0.3">
      <c r="A25"/>
      <c r="B25"/>
      <c r="C25"/>
      <c r="E25"/>
      <c r="F25"/>
      <c r="G25"/>
    </row>
    <row r="26" spans="1:7" ht="14.4" x14ac:dyDescent="0.3">
      <c r="A26"/>
      <c r="B26"/>
      <c r="C26"/>
      <c r="E26"/>
      <c r="F26"/>
      <c r="G26"/>
    </row>
    <row r="27" spans="1:7" ht="14.4" x14ac:dyDescent="0.3">
      <c r="A27"/>
      <c r="B27"/>
      <c r="C27"/>
      <c r="E27"/>
      <c r="F27"/>
      <c r="G27"/>
    </row>
    <row r="28" spans="1:7" ht="14.4" x14ac:dyDescent="0.3">
      <c r="A28"/>
      <c r="B28"/>
      <c r="C28"/>
      <c r="E28"/>
      <c r="F28"/>
      <c r="G28"/>
    </row>
    <row r="29" spans="1:7" ht="14.4" x14ac:dyDescent="0.3">
      <c r="A29"/>
      <c r="B29"/>
      <c r="C29"/>
      <c r="E29"/>
      <c r="F29"/>
      <c r="G29"/>
    </row>
    <row r="30" spans="1:7" ht="14.4" x14ac:dyDescent="0.3">
      <c r="A30"/>
      <c r="B30"/>
      <c r="C30"/>
      <c r="E30"/>
      <c r="F30"/>
      <c r="G30"/>
    </row>
    <row r="31" spans="1:7" ht="14.4" x14ac:dyDescent="0.3">
      <c r="A31"/>
      <c r="B31"/>
      <c r="C31"/>
      <c r="E31"/>
      <c r="F31"/>
      <c r="G31"/>
    </row>
    <row r="32" spans="1:7" ht="14.4" x14ac:dyDescent="0.3">
      <c r="A32"/>
      <c r="B32"/>
      <c r="C32"/>
      <c r="E32"/>
      <c r="F32"/>
      <c r="G32"/>
    </row>
    <row r="33" spans="1:7" ht="14.4" x14ac:dyDescent="0.3">
      <c r="A33"/>
      <c r="B33"/>
      <c r="C33"/>
      <c r="E33"/>
      <c r="F33"/>
      <c r="G33"/>
    </row>
    <row r="34" spans="1:7" ht="14.4" x14ac:dyDescent="0.3">
      <c r="A34"/>
      <c r="B34"/>
      <c r="C34"/>
      <c r="E34"/>
      <c r="F34"/>
      <c r="G34"/>
    </row>
    <row r="35" spans="1:7" ht="14.4" x14ac:dyDescent="0.3">
      <c r="A35"/>
      <c r="B35"/>
      <c r="C35"/>
      <c r="E35"/>
      <c r="F35"/>
      <c r="G35"/>
    </row>
    <row r="36" spans="1:7" ht="14.4" x14ac:dyDescent="0.3">
      <c r="A36"/>
      <c r="B36"/>
      <c r="C36"/>
      <c r="E36"/>
      <c r="F36"/>
      <c r="G36"/>
    </row>
    <row r="37" spans="1:7" ht="14.4" x14ac:dyDescent="0.3">
      <c r="A37"/>
      <c r="B37"/>
      <c r="C37"/>
      <c r="E37"/>
      <c r="F37"/>
      <c r="G37"/>
    </row>
    <row r="38" spans="1:7" ht="14.4" x14ac:dyDescent="0.3">
      <c r="A38"/>
      <c r="B38"/>
      <c r="C38"/>
      <c r="E38"/>
      <c r="F38"/>
      <c r="G38"/>
    </row>
    <row r="39" spans="1:7" ht="14.4" x14ac:dyDescent="0.3">
      <c r="A39"/>
      <c r="B39"/>
      <c r="C39"/>
      <c r="E39"/>
      <c r="F39"/>
      <c r="G39"/>
    </row>
    <row r="40" spans="1:7" ht="14.4" x14ac:dyDescent="0.3">
      <c r="A40"/>
      <c r="B40"/>
      <c r="C40"/>
      <c r="E40"/>
      <c r="F40"/>
      <c r="G40"/>
    </row>
    <row r="41" spans="1:7" ht="14.4" x14ac:dyDescent="0.3">
      <c r="A41"/>
      <c r="B41"/>
      <c r="C41"/>
      <c r="E41"/>
      <c r="F41"/>
      <c r="G41"/>
    </row>
    <row r="42" spans="1:7" ht="14.4" x14ac:dyDescent="0.3">
      <c r="A42"/>
      <c r="B42"/>
      <c r="C42"/>
      <c r="E42"/>
      <c r="F42"/>
      <c r="G42"/>
    </row>
    <row r="43" spans="1:7" ht="14.4" x14ac:dyDescent="0.3">
      <c r="A43"/>
      <c r="B43"/>
      <c r="C43"/>
      <c r="E43"/>
      <c r="F43"/>
      <c r="G43"/>
    </row>
    <row r="44" spans="1:7" ht="14.4" x14ac:dyDescent="0.3">
      <c r="A44"/>
      <c r="B44"/>
      <c r="C44"/>
      <c r="E44"/>
      <c r="F44"/>
      <c r="G44"/>
    </row>
    <row r="45" spans="1:7" ht="14.4" x14ac:dyDescent="0.3">
      <c r="A45"/>
      <c r="B45"/>
      <c r="C45"/>
      <c r="E45"/>
      <c r="F45"/>
      <c r="G45"/>
    </row>
    <row r="46" spans="1:7" ht="14.4" x14ac:dyDescent="0.3">
      <c r="A46"/>
      <c r="B46"/>
      <c r="C46"/>
      <c r="E46"/>
      <c r="F46"/>
      <c r="G46"/>
    </row>
    <row r="47" spans="1:7" ht="14.4" x14ac:dyDescent="0.3">
      <c r="A47"/>
      <c r="B47"/>
      <c r="C47"/>
      <c r="E47"/>
      <c r="F47"/>
      <c r="G47"/>
    </row>
    <row r="48" spans="1:7" ht="14.4" x14ac:dyDescent="0.3">
      <c r="A48"/>
      <c r="B48"/>
      <c r="C48"/>
      <c r="E48"/>
      <c r="F48"/>
      <c r="G48"/>
    </row>
    <row r="49" spans="1:7" ht="14.4" x14ac:dyDescent="0.3">
      <c r="A49"/>
      <c r="B49"/>
      <c r="C49"/>
      <c r="E49"/>
      <c r="F49"/>
      <c r="G49"/>
    </row>
    <row r="50" spans="1:7" ht="14.4" x14ac:dyDescent="0.3">
      <c r="A50"/>
      <c r="B50"/>
      <c r="C50"/>
      <c r="E50"/>
      <c r="F50"/>
      <c r="G50"/>
    </row>
    <row r="51" spans="1:7" ht="14.4" x14ac:dyDescent="0.3">
      <c r="A51"/>
      <c r="B51"/>
      <c r="C51"/>
      <c r="E51"/>
      <c r="F51"/>
      <c r="G51"/>
    </row>
    <row r="52" spans="1:7" ht="14.4" x14ac:dyDescent="0.3">
      <c r="A52"/>
      <c r="B52"/>
      <c r="C52"/>
      <c r="E52"/>
      <c r="F52"/>
      <c r="G52"/>
    </row>
    <row r="53" spans="1:7" ht="14.4" x14ac:dyDescent="0.3">
      <c r="A53"/>
      <c r="B53"/>
      <c r="C53"/>
      <c r="E53"/>
      <c r="F53"/>
      <c r="G53"/>
    </row>
    <row r="54" spans="1:7" ht="14.4" x14ac:dyDescent="0.3">
      <c r="A54"/>
      <c r="B54"/>
      <c r="C54"/>
      <c r="E54"/>
      <c r="F54"/>
      <c r="G54"/>
    </row>
    <row r="55" spans="1:7" ht="14.4" x14ac:dyDescent="0.3">
      <c r="A55"/>
      <c r="B55"/>
      <c r="C55"/>
      <c r="E55"/>
      <c r="F55"/>
      <c r="G55"/>
    </row>
    <row r="56" spans="1:7" ht="14.4" x14ac:dyDescent="0.3">
      <c r="A56"/>
      <c r="B56"/>
      <c r="C56"/>
      <c r="E56"/>
      <c r="F56"/>
      <c r="G56"/>
    </row>
    <row r="57" spans="1:7" ht="14.4" x14ac:dyDescent="0.3">
      <c r="A57"/>
      <c r="B57"/>
      <c r="C57"/>
      <c r="E57"/>
      <c r="F57"/>
      <c r="G57"/>
    </row>
    <row r="58" spans="1:7" ht="14.4" x14ac:dyDescent="0.3">
      <c r="A58"/>
      <c r="B58"/>
      <c r="C58"/>
      <c r="E58"/>
      <c r="F58"/>
      <c r="G58"/>
    </row>
    <row r="59" spans="1:7" ht="14.4" x14ac:dyDescent="0.3">
      <c r="A59"/>
      <c r="B59"/>
      <c r="C59"/>
      <c r="E59"/>
      <c r="F59"/>
      <c r="G59"/>
    </row>
    <row r="60" spans="1:7" ht="14.4" x14ac:dyDescent="0.3">
      <c r="A60"/>
      <c r="B60"/>
      <c r="C60"/>
      <c r="E60"/>
      <c r="F60"/>
      <c r="G60"/>
    </row>
    <row r="61" spans="1:7" ht="14.4" x14ac:dyDescent="0.3">
      <c r="A61"/>
      <c r="B61"/>
      <c r="C61"/>
      <c r="E61"/>
      <c r="F61"/>
      <c r="G61"/>
    </row>
    <row r="62" spans="1:7" ht="14.4" x14ac:dyDescent="0.3">
      <c r="A62"/>
      <c r="B62"/>
      <c r="C62"/>
      <c r="E62"/>
      <c r="F62"/>
      <c r="G62"/>
    </row>
    <row r="63" spans="1:7" ht="14.4" x14ac:dyDescent="0.3">
      <c r="A63"/>
      <c r="B63"/>
      <c r="C63"/>
      <c r="E63"/>
      <c r="F63"/>
      <c r="G63"/>
    </row>
    <row r="64" spans="1:7" ht="14.4" x14ac:dyDescent="0.3">
      <c r="A64"/>
      <c r="B64"/>
      <c r="C64"/>
      <c r="E64"/>
      <c r="F64"/>
      <c r="G64"/>
    </row>
    <row r="65" spans="1:7" ht="14.4" x14ac:dyDescent="0.3">
      <c r="A65"/>
      <c r="B65"/>
      <c r="C65"/>
      <c r="E65"/>
      <c r="F65"/>
      <c r="G65"/>
    </row>
    <row r="66" spans="1:7" ht="14.4" x14ac:dyDescent="0.3">
      <c r="A66"/>
      <c r="B66"/>
      <c r="C66"/>
      <c r="E66"/>
      <c r="F66"/>
      <c r="G66"/>
    </row>
    <row r="67" spans="1:7" ht="14.4" x14ac:dyDescent="0.3">
      <c r="A67"/>
      <c r="B67"/>
      <c r="C67"/>
      <c r="E67"/>
      <c r="F67"/>
      <c r="G67"/>
    </row>
    <row r="68" spans="1:7" ht="14.4" x14ac:dyDescent="0.3">
      <c r="A68"/>
      <c r="B68"/>
      <c r="C68"/>
      <c r="E68"/>
      <c r="F68"/>
      <c r="G68"/>
    </row>
    <row r="69" spans="1:7" ht="14.4" x14ac:dyDescent="0.3">
      <c r="A69"/>
      <c r="B69"/>
      <c r="C69"/>
      <c r="E69"/>
      <c r="F69"/>
      <c r="G69"/>
    </row>
    <row r="70" spans="1:7" ht="14.4" x14ac:dyDescent="0.3">
      <c r="A70"/>
      <c r="B70"/>
      <c r="C70"/>
      <c r="E70"/>
      <c r="F70"/>
      <c r="G70"/>
    </row>
    <row r="71" spans="1:7" ht="14.4" x14ac:dyDescent="0.3">
      <c r="A71"/>
      <c r="B71"/>
      <c r="C71"/>
      <c r="E71"/>
      <c r="F71"/>
      <c r="G71"/>
    </row>
    <row r="72" spans="1:7" ht="14.4" x14ac:dyDescent="0.3">
      <c r="A72"/>
      <c r="B72"/>
      <c r="C72"/>
      <c r="E72"/>
      <c r="F72"/>
      <c r="G72"/>
    </row>
    <row r="73" spans="1:7" ht="14.4" x14ac:dyDescent="0.3">
      <c r="A73"/>
      <c r="B73"/>
      <c r="C73"/>
      <c r="E73"/>
      <c r="F73"/>
      <c r="G73"/>
    </row>
    <row r="74" spans="1:7" ht="14.4" x14ac:dyDescent="0.3">
      <c r="A74"/>
      <c r="B74"/>
      <c r="C74"/>
      <c r="E74"/>
      <c r="F74"/>
      <c r="G74"/>
    </row>
    <row r="75" spans="1:7" ht="14.4" x14ac:dyDescent="0.3">
      <c r="A75"/>
      <c r="B75"/>
      <c r="C75"/>
      <c r="E75"/>
      <c r="F75"/>
      <c r="G75"/>
    </row>
    <row r="76" spans="1:7" ht="14.4" x14ac:dyDescent="0.3">
      <c r="A76"/>
      <c r="B76"/>
      <c r="C76"/>
      <c r="E76"/>
      <c r="F76"/>
      <c r="G76"/>
    </row>
    <row r="77" spans="1:7" ht="14.4" x14ac:dyDescent="0.3">
      <c r="A77"/>
      <c r="B77"/>
      <c r="C77"/>
      <c r="E77"/>
      <c r="F77"/>
      <c r="G77"/>
    </row>
    <row r="78" spans="1:7" ht="14.4" x14ac:dyDescent="0.3">
      <c r="A78"/>
      <c r="B78"/>
      <c r="C78"/>
      <c r="E78"/>
      <c r="F78"/>
      <c r="G78"/>
    </row>
    <row r="79" spans="1:7" ht="14.4" x14ac:dyDescent="0.3">
      <c r="A79"/>
      <c r="B79"/>
      <c r="C79"/>
      <c r="E79"/>
      <c r="F79"/>
      <c r="G79"/>
    </row>
    <row r="80" spans="1:7" ht="14.4" x14ac:dyDescent="0.3">
      <c r="A80"/>
      <c r="B80"/>
      <c r="C80"/>
      <c r="E80"/>
      <c r="F80"/>
      <c r="G80"/>
    </row>
    <row r="81" spans="1:7" ht="14.4" x14ac:dyDescent="0.3">
      <c r="A81"/>
      <c r="B81"/>
      <c r="C81"/>
      <c r="E81"/>
      <c r="F81"/>
      <c r="G81"/>
    </row>
    <row r="82" spans="1:7" ht="14.4" x14ac:dyDescent="0.3">
      <c r="A82"/>
      <c r="B82"/>
      <c r="C82"/>
      <c r="E82"/>
      <c r="F82"/>
      <c r="G82"/>
    </row>
    <row r="83" spans="1:7" ht="14.4" x14ac:dyDescent="0.3">
      <c r="A83"/>
      <c r="B83"/>
      <c r="C83"/>
      <c r="E83"/>
      <c r="F83"/>
      <c r="G83"/>
    </row>
    <row r="84" spans="1:7" ht="14.4" x14ac:dyDescent="0.3">
      <c r="A84"/>
      <c r="B84"/>
      <c r="C84"/>
      <c r="E84"/>
      <c r="F84"/>
      <c r="G84"/>
    </row>
    <row r="85" spans="1:7" ht="14.4" x14ac:dyDescent="0.3">
      <c r="A85"/>
      <c r="B85"/>
      <c r="C85"/>
      <c r="E85"/>
      <c r="F85"/>
      <c r="G85"/>
    </row>
    <row r="86" spans="1:7" ht="14.4" x14ac:dyDescent="0.3">
      <c r="A86"/>
      <c r="B86"/>
      <c r="C86"/>
      <c r="E86"/>
      <c r="F86"/>
      <c r="G86"/>
    </row>
    <row r="87" spans="1:7" ht="14.4" x14ac:dyDescent="0.3">
      <c r="A87"/>
      <c r="B87"/>
      <c r="C87"/>
      <c r="E87"/>
      <c r="F87"/>
      <c r="G87"/>
    </row>
    <row r="88" spans="1:7" ht="14.4" x14ac:dyDescent="0.3">
      <c r="A88"/>
      <c r="B88"/>
      <c r="C88"/>
      <c r="E88"/>
      <c r="F88"/>
      <c r="G88"/>
    </row>
    <row r="89" spans="1:7" ht="14.4" x14ac:dyDescent="0.3">
      <c r="A89"/>
      <c r="B89"/>
      <c r="C89"/>
      <c r="E89"/>
      <c r="F89"/>
      <c r="G89"/>
    </row>
    <row r="90" spans="1:7" ht="14.4" x14ac:dyDescent="0.3">
      <c r="A90"/>
      <c r="B90"/>
      <c r="C90"/>
      <c r="E90"/>
      <c r="F90"/>
      <c r="G90"/>
    </row>
    <row r="91" spans="1:7" ht="14.4" x14ac:dyDescent="0.3">
      <c r="A91"/>
      <c r="B91"/>
      <c r="C91"/>
      <c r="E91"/>
      <c r="F91"/>
      <c r="G91"/>
    </row>
    <row r="92" spans="1:7" ht="14.4" x14ac:dyDescent="0.3">
      <c r="A92"/>
      <c r="B92"/>
      <c r="C92"/>
      <c r="E92"/>
      <c r="F92"/>
      <c r="G92"/>
    </row>
    <row r="93" spans="1:7" ht="14.4" x14ac:dyDescent="0.3">
      <c r="A93"/>
      <c r="B93"/>
      <c r="C93"/>
      <c r="E93"/>
      <c r="F93"/>
      <c r="G93"/>
    </row>
    <row r="94" spans="1:7" ht="14.4" x14ac:dyDescent="0.3">
      <c r="A94"/>
      <c r="B94"/>
      <c r="C94"/>
      <c r="E94"/>
      <c r="F94"/>
      <c r="G94"/>
    </row>
    <row r="95" spans="1:7" ht="14.4" x14ac:dyDescent="0.3">
      <c r="A95"/>
      <c r="B95"/>
      <c r="C95"/>
      <c r="E95"/>
      <c r="F95"/>
      <c r="G95"/>
    </row>
    <row r="96" spans="1:7" ht="14.4" x14ac:dyDescent="0.3">
      <c r="A96"/>
      <c r="B96"/>
      <c r="C96"/>
      <c r="E96"/>
      <c r="F96"/>
      <c r="G96"/>
    </row>
    <row r="97" spans="1:7" ht="14.4" x14ac:dyDescent="0.3">
      <c r="A97"/>
      <c r="B97"/>
      <c r="C97"/>
      <c r="E97"/>
      <c r="F97"/>
      <c r="G97"/>
    </row>
    <row r="98" spans="1:7" ht="14.4" x14ac:dyDescent="0.3">
      <c r="A98"/>
      <c r="B98"/>
      <c r="C98"/>
      <c r="E98"/>
      <c r="F98"/>
      <c r="G98"/>
    </row>
    <row r="99" spans="1:7" ht="14.4" x14ac:dyDescent="0.3">
      <c r="A99"/>
      <c r="B99"/>
      <c r="C99"/>
      <c r="E99"/>
      <c r="F99"/>
      <c r="G99"/>
    </row>
    <row r="100" spans="1:7" ht="14.4" x14ac:dyDescent="0.3">
      <c r="A100"/>
      <c r="B100"/>
      <c r="C100"/>
      <c r="E100"/>
      <c r="F100"/>
      <c r="G100"/>
    </row>
    <row r="101" spans="1:7" ht="14.4" x14ac:dyDescent="0.3">
      <c r="A101"/>
      <c r="B101"/>
      <c r="C101"/>
      <c r="E101"/>
      <c r="F101"/>
      <c r="G101"/>
    </row>
    <row r="102" spans="1:7" ht="14.4" x14ac:dyDescent="0.3">
      <c r="A102"/>
      <c r="B102"/>
      <c r="C102"/>
      <c r="E102"/>
      <c r="F102"/>
      <c r="G102"/>
    </row>
    <row r="103" spans="1:7" ht="14.4" x14ac:dyDescent="0.3">
      <c r="A103"/>
      <c r="B103"/>
      <c r="C103"/>
      <c r="E103"/>
      <c r="F103"/>
      <c r="G103"/>
    </row>
    <row r="104" spans="1:7" ht="14.4" x14ac:dyDescent="0.3">
      <c r="A104"/>
      <c r="B104"/>
      <c r="C104"/>
      <c r="E104"/>
      <c r="F104"/>
      <c r="G104"/>
    </row>
    <row r="105" spans="1:7" ht="14.4" x14ac:dyDescent="0.3">
      <c r="A105"/>
      <c r="B105"/>
      <c r="C105"/>
      <c r="E105"/>
      <c r="F105"/>
      <c r="G105"/>
    </row>
    <row r="106" spans="1:7" ht="14.4" x14ac:dyDescent="0.3">
      <c r="A106"/>
      <c r="B106"/>
      <c r="C106"/>
      <c r="E106"/>
      <c r="F106"/>
      <c r="G106"/>
    </row>
    <row r="107" spans="1:7" ht="14.4" x14ac:dyDescent="0.3">
      <c r="A107"/>
      <c r="B107"/>
      <c r="C107"/>
      <c r="E107"/>
      <c r="F107"/>
      <c r="G107"/>
    </row>
    <row r="108" spans="1:7" ht="14.4" x14ac:dyDescent="0.3">
      <c r="A108"/>
      <c r="B108"/>
      <c r="C108"/>
      <c r="E108"/>
      <c r="F108"/>
      <c r="G108"/>
    </row>
    <row r="109" spans="1:7" ht="14.4" x14ac:dyDescent="0.3">
      <c r="A109"/>
      <c r="B109"/>
      <c r="C109"/>
      <c r="E109"/>
      <c r="F109"/>
      <c r="G109"/>
    </row>
    <row r="110" spans="1:7" ht="14.4" x14ac:dyDescent="0.3">
      <c r="A110"/>
      <c r="B110"/>
      <c r="C110"/>
      <c r="E110"/>
      <c r="F110"/>
      <c r="G110"/>
    </row>
    <row r="111" spans="1:7" ht="14.4" x14ac:dyDescent="0.3">
      <c r="A111"/>
      <c r="B111"/>
      <c r="C111"/>
      <c r="E111"/>
      <c r="F111"/>
      <c r="G111"/>
    </row>
    <row r="112" spans="1:7" ht="14.4" x14ac:dyDescent="0.3">
      <c r="A112"/>
      <c r="B112"/>
      <c r="C112"/>
      <c r="E112"/>
      <c r="F112"/>
      <c r="G112"/>
    </row>
    <row r="113" spans="1:7" ht="14.4" x14ac:dyDescent="0.3">
      <c r="A113"/>
      <c r="B113"/>
      <c r="C113"/>
      <c r="E113"/>
      <c r="F113"/>
      <c r="G113"/>
    </row>
    <row r="114" spans="1:7" ht="14.4" x14ac:dyDescent="0.3">
      <c r="A114"/>
      <c r="B114"/>
      <c r="C114"/>
      <c r="E114"/>
      <c r="F114"/>
      <c r="G114"/>
    </row>
    <row r="115" spans="1:7" ht="14.4" x14ac:dyDescent="0.3">
      <c r="A115"/>
      <c r="B115"/>
      <c r="C115"/>
      <c r="E115"/>
      <c r="F115"/>
      <c r="G115"/>
    </row>
    <row r="116" spans="1:7" ht="14.4" x14ac:dyDescent="0.3">
      <c r="A116"/>
      <c r="B116"/>
      <c r="C116"/>
      <c r="E116"/>
      <c r="F116"/>
      <c r="G116"/>
    </row>
    <row r="117" spans="1:7" ht="14.4" x14ac:dyDescent="0.3">
      <c r="A117"/>
      <c r="B117"/>
      <c r="C117"/>
      <c r="E117"/>
      <c r="F117"/>
      <c r="G117"/>
    </row>
    <row r="118" spans="1:7" ht="14.4" x14ac:dyDescent="0.3">
      <c r="A118"/>
      <c r="B118"/>
      <c r="C118"/>
      <c r="E118"/>
      <c r="F118"/>
      <c r="G118"/>
    </row>
    <row r="119" spans="1:7" ht="14.4" x14ac:dyDescent="0.3">
      <c r="A119"/>
      <c r="B119"/>
      <c r="C119"/>
      <c r="E119"/>
      <c r="F119"/>
      <c r="G119"/>
    </row>
    <row r="120" spans="1:7" ht="14.4" x14ac:dyDescent="0.3">
      <c r="A120"/>
      <c r="B120"/>
      <c r="C120"/>
      <c r="E120"/>
      <c r="F120"/>
      <c r="G120"/>
    </row>
    <row r="121" spans="1:7" ht="14.4" x14ac:dyDescent="0.3">
      <c r="A121"/>
      <c r="B121"/>
      <c r="C121"/>
      <c r="E121"/>
      <c r="F121"/>
      <c r="G121"/>
    </row>
    <row r="122" spans="1:7" ht="14.4" x14ac:dyDescent="0.3">
      <c r="A122"/>
      <c r="B122"/>
      <c r="C122"/>
      <c r="E122"/>
      <c r="F122"/>
      <c r="G122"/>
    </row>
    <row r="123" spans="1:7" ht="14.4" x14ac:dyDescent="0.3">
      <c r="A123"/>
      <c r="B123"/>
      <c r="C123"/>
      <c r="E123"/>
      <c r="F123"/>
      <c r="G123"/>
    </row>
    <row r="124" spans="1:7" ht="14.4" x14ac:dyDescent="0.3">
      <c r="A124"/>
      <c r="B124"/>
      <c r="C124"/>
      <c r="E124"/>
      <c r="F124"/>
      <c r="G124"/>
    </row>
    <row r="125" spans="1:7" ht="14.4" x14ac:dyDescent="0.3">
      <c r="A125"/>
      <c r="B125"/>
      <c r="C125"/>
      <c r="E125"/>
      <c r="F125"/>
      <c r="G125"/>
    </row>
    <row r="126" spans="1:7" ht="14.4" x14ac:dyDescent="0.3">
      <c r="A126"/>
      <c r="B126"/>
      <c r="C126"/>
      <c r="E126"/>
      <c r="F126"/>
      <c r="G126"/>
    </row>
    <row r="127" spans="1:7" ht="14.4" x14ac:dyDescent="0.3">
      <c r="A127"/>
      <c r="B127"/>
      <c r="C127"/>
      <c r="E127"/>
      <c r="F127"/>
      <c r="G127"/>
    </row>
    <row r="128" spans="1:7" ht="14.4" x14ac:dyDescent="0.3">
      <c r="A128"/>
      <c r="B128"/>
      <c r="C128"/>
      <c r="E128"/>
      <c r="F128"/>
      <c r="G128"/>
    </row>
    <row r="129" spans="1:7" ht="14.4" x14ac:dyDescent="0.3">
      <c r="A129"/>
      <c r="B129"/>
      <c r="C129"/>
      <c r="E129"/>
      <c r="F129"/>
      <c r="G129"/>
    </row>
    <row r="130" spans="1:7" ht="14.4" x14ac:dyDescent="0.3">
      <c r="A130"/>
      <c r="B130"/>
      <c r="C130"/>
      <c r="E130"/>
      <c r="F130"/>
      <c r="G130"/>
    </row>
    <row r="131" spans="1:7" ht="14.4" x14ac:dyDescent="0.3">
      <c r="A131"/>
      <c r="B131"/>
      <c r="C131"/>
      <c r="E131"/>
      <c r="F131"/>
      <c r="G131"/>
    </row>
    <row r="132" spans="1:7" ht="14.4" x14ac:dyDescent="0.3">
      <c r="A132"/>
      <c r="B132"/>
      <c r="C132"/>
      <c r="E132"/>
      <c r="F132"/>
      <c r="G132"/>
    </row>
    <row r="133" spans="1:7" ht="14.4" x14ac:dyDescent="0.3">
      <c r="A133"/>
      <c r="B133"/>
      <c r="C133"/>
      <c r="E133"/>
      <c r="F133"/>
      <c r="G133"/>
    </row>
    <row r="134" spans="1:7" ht="14.4" x14ac:dyDescent="0.3">
      <c r="A134"/>
      <c r="B134"/>
      <c r="C134"/>
      <c r="E134"/>
      <c r="F134"/>
      <c r="G134"/>
    </row>
    <row r="135" spans="1:7" ht="14.4" x14ac:dyDescent="0.3">
      <c r="A135"/>
      <c r="B135"/>
      <c r="C135"/>
      <c r="E135"/>
      <c r="F135"/>
      <c r="G135"/>
    </row>
    <row r="136" spans="1:7" ht="14.4" x14ac:dyDescent="0.3">
      <c r="A136"/>
      <c r="B136"/>
      <c r="C136"/>
      <c r="E136"/>
      <c r="F136"/>
      <c r="G136"/>
    </row>
    <row r="137" spans="1:7" ht="14.4" x14ac:dyDescent="0.3">
      <c r="A137"/>
      <c r="B137"/>
      <c r="C137"/>
      <c r="E137"/>
      <c r="F137"/>
      <c r="G137"/>
    </row>
    <row r="138" spans="1:7" ht="14.4" x14ac:dyDescent="0.3">
      <c r="A138"/>
      <c r="B138"/>
      <c r="C138"/>
      <c r="E138"/>
      <c r="F138"/>
      <c r="G138"/>
    </row>
    <row r="139" spans="1:7" ht="14.4" x14ac:dyDescent="0.3">
      <c r="A139"/>
      <c r="B139"/>
      <c r="C139"/>
      <c r="E139"/>
      <c r="F139"/>
      <c r="G139"/>
    </row>
    <row r="140" spans="1:7" ht="14.4" x14ac:dyDescent="0.3">
      <c r="A140"/>
      <c r="B140"/>
      <c r="C140"/>
      <c r="E140"/>
      <c r="F140"/>
      <c r="G140"/>
    </row>
    <row r="141" spans="1:7" ht="14.4" x14ac:dyDescent="0.3">
      <c r="A141"/>
      <c r="B141"/>
      <c r="C141"/>
      <c r="E141"/>
      <c r="F141"/>
      <c r="G141"/>
    </row>
    <row r="142" spans="1:7" ht="14.4" x14ac:dyDescent="0.3">
      <c r="A142"/>
      <c r="B142"/>
      <c r="C142"/>
      <c r="E142"/>
      <c r="F142"/>
      <c r="G142"/>
    </row>
    <row r="143" spans="1:7" ht="14.4" x14ac:dyDescent="0.3">
      <c r="A143"/>
      <c r="B143"/>
      <c r="C143"/>
      <c r="E143"/>
      <c r="F143"/>
      <c r="G143"/>
    </row>
    <row r="144" spans="1:7" ht="14.4" x14ac:dyDescent="0.3">
      <c r="A144"/>
      <c r="B144"/>
      <c r="C144"/>
      <c r="E144"/>
      <c r="F144"/>
      <c r="G144"/>
    </row>
    <row r="145" spans="1:7" ht="14.4" x14ac:dyDescent="0.3">
      <c r="A145"/>
      <c r="B145"/>
      <c r="C145"/>
      <c r="E145"/>
      <c r="F145"/>
      <c r="G145"/>
    </row>
    <row r="146" spans="1:7" ht="14.4" x14ac:dyDescent="0.3">
      <c r="A146"/>
      <c r="B146"/>
      <c r="C146"/>
      <c r="E146"/>
      <c r="F146"/>
      <c r="G146"/>
    </row>
    <row r="147" spans="1:7" ht="14.4" x14ac:dyDescent="0.3">
      <c r="A147"/>
      <c r="B147"/>
      <c r="C147"/>
      <c r="E147"/>
      <c r="F147"/>
      <c r="G147"/>
    </row>
    <row r="148" spans="1:7" ht="14.4" x14ac:dyDescent="0.3">
      <c r="A148"/>
      <c r="B148"/>
      <c r="C148"/>
      <c r="E148"/>
      <c r="F148"/>
      <c r="G148"/>
    </row>
    <row r="149" spans="1:7" ht="14.4" x14ac:dyDescent="0.3">
      <c r="A149"/>
      <c r="B149"/>
      <c r="C149"/>
      <c r="E149"/>
      <c r="F149"/>
      <c r="G149"/>
    </row>
    <row r="150" spans="1:7" ht="14.4" x14ac:dyDescent="0.3">
      <c r="A150"/>
      <c r="B150"/>
      <c r="C150"/>
      <c r="E150"/>
      <c r="F150"/>
      <c r="G150"/>
    </row>
    <row r="151" spans="1:7" ht="14.4" x14ac:dyDescent="0.3">
      <c r="A151"/>
      <c r="B151"/>
      <c r="C151"/>
      <c r="E151"/>
      <c r="F151"/>
      <c r="G151"/>
    </row>
    <row r="152" spans="1:7" ht="14.4" x14ac:dyDescent="0.3">
      <c r="A152"/>
      <c r="B152"/>
      <c r="C152"/>
      <c r="E152"/>
      <c r="F152"/>
      <c r="G152"/>
    </row>
    <row r="153" spans="1:7" ht="14.4" x14ac:dyDescent="0.3">
      <c r="A153"/>
      <c r="B153"/>
      <c r="C153"/>
      <c r="E153"/>
      <c r="F153"/>
      <c r="G153"/>
    </row>
    <row r="154" spans="1:7" ht="14.4" x14ac:dyDescent="0.3">
      <c r="A154"/>
      <c r="B154"/>
      <c r="C154"/>
      <c r="E154"/>
      <c r="F154"/>
      <c r="G154"/>
    </row>
    <row r="155" spans="1:7" ht="14.4" x14ac:dyDescent="0.3">
      <c r="A155"/>
      <c r="B155"/>
      <c r="C155"/>
      <c r="E155"/>
      <c r="F155"/>
      <c r="G155"/>
    </row>
    <row r="156" spans="1:7" ht="14.4" x14ac:dyDescent="0.3">
      <c r="A156"/>
      <c r="B156"/>
      <c r="C156"/>
      <c r="E156"/>
      <c r="F156"/>
      <c r="G156"/>
    </row>
    <row r="157" spans="1:7" ht="14.4" x14ac:dyDescent="0.3">
      <c r="A157"/>
      <c r="B157"/>
      <c r="C157"/>
      <c r="E157"/>
      <c r="F157"/>
      <c r="G157"/>
    </row>
    <row r="158" spans="1:7" ht="14.4" x14ac:dyDescent="0.3">
      <c r="A158"/>
      <c r="B158"/>
      <c r="C158"/>
      <c r="E158"/>
      <c r="F158"/>
      <c r="G158"/>
    </row>
    <row r="159" spans="1:7" ht="14.4" x14ac:dyDescent="0.3">
      <c r="A159"/>
      <c r="B159"/>
      <c r="C159"/>
      <c r="E159"/>
      <c r="F159"/>
      <c r="G159"/>
    </row>
    <row r="160" spans="1:7" ht="14.4" x14ac:dyDescent="0.3">
      <c r="A160"/>
      <c r="B160"/>
      <c r="C160"/>
      <c r="E160"/>
      <c r="F160"/>
      <c r="G160"/>
    </row>
    <row r="161" spans="1:7" ht="14.4" x14ac:dyDescent="0.3">
      <c r="A161"/>
      <c r="B161"/>
      <c r="C161"/>
      <c r="E161"/>
      <c r="F161"/>
      <c r="G161"/>
    </row>
    <row r="162" spans="1:7" ht="14.4" x14ac:dyDescent="0.3">
      <c r="A162"/>
      <c r="B162"/>
      <c r="C162"/>
      <c r="E162"/>
      <c r="F162"/>
      <c r="G162"/>
    </row>
    <row r="163" spans="1:7" ht="14.4" x14ac:dyDescent="0.3">
      <c r="A163"/>
      <c r="B163"/>
      <c r="C163"/>
      <c r="E163"/>
      <c r="F163"/>
      <c r="G163"/>
    </row>
    <row r="164" spans="1:7" ht="14.4" x14ac:dyDescent="0.3">
      <c r="A164"/>
      <c r="B164"/>
      <c r="C164"/>
      <c r="E164"/>
      <c r="F164"/>
      <c r="G164"/>
    </row>
    <row r="165" spans="1:7" ht="14.4" x14ac:dyDescent="0.3">
      <c r="A165"/>
      <c r="B165"/>
      <c r="C165"/>
      <c r="E165"/>
      <c r="F165"/>
      <c r="G165"/>
    </row>
    <row r="166" spans="1:7" ht="14.4" x14ac:dyDescent="0.3">
      <c r="A166"/>
      <c r="B166"/>
      <c r="C166"/>
      <c r="E166"/>
      <c r="F166"/>
      <c r="G166"/>
    </row>
    <row r="167" spans="1:7" ht="14.4" x14ac:dyDescent="0.3">
      <c r="A167"/>
      <c r="B167"/>
      <c r="C167"/>
      <c r="E167"/>
      <c r="F167"/>
      <c r="G167"/>
    </row>
    <row r="168" spans="1:7" ht="14.4" x14ac:dyDescent="0.3">
      <c r="A168"/>
      <c r="B168"/>
      <c r="C168"/>
      <c r="E168"/>
      <c r="F168"/>
      <c r="G168"/>
    </row>
    <row r="169" spans="1:7" ht="14.4" x14ac:dyDescent="0.3">
      <c r="A169"/>
      <c r="B169"/>
      <c r="C169"/>
      <c r="E169"/>
      <c r="F169"/>
      <c r="G169"/>
    </row>
    <row r="170" spans="1:7" ht="14.4" x14ac:dyDescent="0.3">
      <c r="A170"/>
      <c r="B170"/>
      <c r="C170"/>
      <c r="E170"/>
      <c r="F170"/>
      <c r="G170"/>
    </row>
    <row r="171" spans="1:7" ht="14.4" x14ac:dyDescent="0.3">
      <c r="A171"/>
      <c r="B171"/>
      <c r="C171"/>
      <c r="E171"/>
      <c r="F171"/>
      <c r="G171"/>
    </row>
    <row r="172" spans="1:7" ht="14.4" x14ac:dyDescent="0.3">
      <c r="A172"/>
      <c r="B172"/>
      <c r="C172"/>
      <c r="E172"/>
      <c r="F172"/>
      <c r="G172"/>
    </row>
    <row r="173" spans="1:7" ht="14.4" x14ac:dyDescent="0.3">
      <c r="A173"/>
      <c r="B173"/>
      <c r="C173"/>
      <c r="E173"/>
      <c r="F173"/>
      <c r="G173"/>
    </row>
    <row r="174" spans="1:7" ht="14.4" x14ac:dyDescent="0.3">
      <c r="A174"/>
      <c r="B174"/>
      <c r="C174"/>
      <c r="E174"/>
      <c r="F174"/>
      <c r="G174"/>
    </row>
    <row r="175" spans="1:7" ht="14.4" x14ac:dyDescent="0.3">
      <c r="A175"/>
      <c r="B175"/>
      <c r="C175"/>
      <c r="E175"/>
      <c r="F175"/>
      <c r="G175"/>
    </row>
    <row r="176" spans="1:7" ht="14.4" x14ac:dyDescent="0.3">
      <c r="A176"/>
      <c r="B176"/>
      <c r="C176"/>
      <c r="E176"/>
      <c r="F176"/>
      <c r="G176"/>
    </row>
    <row r="177" spans="1:7" ht="14.4" x14ac:dyDescent="0.3">
      <c r="A177"/>
      <c r="B177"/>
      <c r="C177"/>
      <c r="E177"/>
      <c r="F177"/>
      <c r="G177"/>
    </row>
    <row r="178" spans="1:7" ht="14.4" x14ac:dyDescent="0.3">
      <c r="A178"/>
      <c r="B178"/>
      <c r="C178"/>
      <c r="E178"/>
      <c r="F178"/>
      <c r="G178"/>
    </row>
    <row r="179" spans="1:7" ht="14.4" x14ac:dyDescent="0.3">
      <c r="A179"/>
      <c r="B179"/>
      <c r="C179"/>
      <c r="E179"/>
      <c r="F179"/>
      <c r="G179"/>
    </row>
    <row r="180" spans="1:7" ht="14.4" x14ac:dyDescent="0.3">
      <c r="A180"/>
      <c r="B180"/>
      <c r="C180"/>
      <c r="E180"/>
      <c r="F180"/>
      <c r="G180"/>
    </row>
    <row r="181" spans="1:7" ht="14.4" x14ac:dyDescent="0.3">
      <c r="A181"/>
      <c r="B181"/>
      <c r="C181"/>
      <c r="E181"/>
      <c r="F181"/>
      <c r="G181"/>
    </row>
    <row r="182" spans="1:7" ht="14.4" x14ac:dyDescent="0.3">
      <c r="A182"/>
      <c r="B182"/>
      <c r="C182"/>
      <c r="E182"/>
      <c r="F182"/>
      <c r="G182"/>
    </row>
    <row r="183" spans="1:7" ht="14.4" x14ac:dyDescent="0.3">
      <c r="A183"/>
      <c r="B183"/>
      <c r="C183"/>
      <c r="E183"/>
      <c r="F183"/>
      <c r="G183"/>
    </row>
    <row r="184" spans="1:7" ht="14.4" x14ac:dyDescent="0.3">
      <c r="A184"/>
      <c r="B184"/>
      <c r="C184"/>
      <c r="E184"/>
      <c r="F184"/>
      <c r="G184"/>
    </row>
    <row r="185" spans="1:7" ht="14.4" x14ac:dyDescent="0.3">
      <c r="A185"/>
      <c r="B185"/>
      <c r="C185"/>
      <c r="E185"/>
      <c r="F185"/>
      <c r="G185"/>
    </row>
    <row r="186" spans="1:7" ht="14.4" x14ac:dyDescent="0.3">
      <c r="A186"/>
      <c r="B186"/>
      <c r="C186"/>
      <c r="E186"/>
      <c r="F186"/>
      <c r="G186"/>
    </row>
    <row r="187" spans="1:7" ht="14.4" x14ac:dyDescent="0.3">
      <c r="A187"/>
      <c r="B187"/>
      <c r="C187"/>
      <c r="E187"/>
      <c r="F187"/>
      <c r="G187"/>
    </row>
    <row r="188" spans="1:7" ht="14.4" x14ac:dyDescent="0.3">
      <c r="A188"/>
      <c r="B188"/>
      <c r="C188"/>
      <c r="E188"/>
      <c r="F188"/>
      <c r="G188"/>
    </row>
    <row r="189" spans="1:7" ht="14.4" x14ac:dyDescent="0.3">
      <c r="A189"/>
      <c r="B189"/>
      <c r="C189"/>
      <c r="E189"/>
      <c r="F189"/>
      <c r="G189"/>
    </row>
    <row r="190" spans="1:7" ht="14.4" x14ac:dyDescent="0.3">
      <c r="A190"/>
      <c r="B190"/>
      <c r="C190"/>
      <c r="E190"/>
      <c r="F190"/>
      <c r="G190"/>
    </row>
    <row r="191" spans="1:7" ht="14.4" x14ac:dyDescent="0.3">
      <c r="A191"/>
      <c r="B191"/>
      <c r="C191"/>
      <c r="E191"/>
      <c r="F191"/>
      <c r="G191"/>
    </row>
    <row r="192" spans="1:7" ht="14.4" x14ac:dyDescent="0.3">
      <c r="A192"/>
      <c r="B192"/>
      <c r="C192"/>
      <c r="E192"/>
      <c r="F192"/>
      <c r="G192"/>
    </row>
    <row r="193" spans="1:7" ht="14.4" x14ac:dyDescent="0.3">
      <c r="A193"/>
      <c r="B193"/>
      <c r="C193"/>
      <c r="E193"/>
      <c r="F193"/>
      <c r="G193"/>
    </row>
    <row r="194" spans="1:7" ht="14.4" x14ac:dyDescent="0.3">
      <c r="A194"/>
      <c r="B194"/>
      <c r="C194"/>
      <c r="E194"/>
      <c r="F194"/>
      <c r="G194"/>
    </row>
    <row r="195" spans="1:7" ht="14.4" x14ac:dyDescent="0.3">
      <c r="A195"/>
      <c r="B195"/>
      <c r="C195"/>
      <c r="E195"/>
      <c r="F195"/>
      <c r="G195"/>
    </row>
    <row r="196" spans="1:7" ht="14.4" x14ac:dyDescent="0.3">
      <c r="A196"/>
      <c r="B196"/>
      <c r="C196"/>
      <c r="E196"/>
      <c r="F196"/>
      <c r="G196"/>
    </row>
    <row r="197" spans="1:7" ht="14.4" x14ac:dyDescent="0.3">
      <c r="A197"/>
      <c r="B197"/>
      <c r="C197"/>
      <c r="E197"/>
      <c r="F197"/>
      <c r="G197"/>
    </row>
    <row r="198" spans="1:7" ht="14.4" x14ac:dyDescent="0.3">
      <c r="A198"/>
      <c r="B198"/>
      <c r="C198"/>
      <c r="E198"/>
      <c r="F198"/>
      <c r="G198"/>
    </row>
    <row r="199" spans="1:7" ht="14.4" x14ac:dyDescent="0.3">
      <c r="A199"/>
      <c r="B199"/>
      <c r="C199"/>
      <c r="E199"/>
      <c r="F199"/>
      <c r="G199"/>
    </row>
    <row r="200" spans="1:7" ht="14.4" x14ac:dyDescent="0.3">
      <c r="A200"/>
      <c r="B200"/>
      <c r="C200"/>
      <c r="E200"/>
      <c r="F200"/>
      <c r="G200"/>
    </row>
    <row r="201" spans="1:7" ht="14.4" x14ac:dyDescent="0.3">
      <c r="A201"/>
      <c r="B201"/>
      <c r="C201"/>
      <c r="E201"/>
      <c r="F201"/>
      <c r="G201"/>
    </row>
    <row r="202" spans="1:7" ht="14.4" x14ac:dyDescent="0.3">
      <c r="A202"/>
      <c r="B202"/>
      <c r="C202"/>
      <c r="E202"/>
      <c r="F202"/>
      <c r="G202"/>
    </row>
    <row r="203" spans="1:7" ht="14.4" x14ac:dyDescent="0.3">
      <c r="A203"/>
      <c r="B203"/>
      <c r="C203"/>
      <c r="E203"/>
      <c r="F203"/>
      <c r="G203"/>
    </row>
    <row r="204" spans="1:7" ht="14.4" x14ac:dyDescent="0.3">
      <c r="A204"/>
      <c r="B204"/>
      <c r="C204"/>
      <c r="E204"/>
      <c r="F204"/>
      <c r="G204"/>
    </row>
    <row r="205" spans="1:7" ht="14.4" x14ac:dyDescent="0.3">
      <c r="A205"/>
      <c r="B205"/>
      <c r="C205"/>
      <c r="E205"/>
      <c r="F205"/>
      <c r="G205"/>
    </row>
    <row r="206" spans="1:7" ht="14.4" x14ac:dyDescent="0.3">
      <c r="A206"/>
      <c r="B206"/>
      <c r="C206"/>
      <c r="E206"/>
      <c r="F206"/>
      <c r="G206"/>
    </row>
    <row r="207" spans="1:7" ht="14.4" x14ac:dyDescent="0.3">
      <c r="A207"/>
      <c r="B207"/>
      <c r="C207"/>
      <c r="E207"/>
      <c r="F207"/>
      <c r="G207"/>
    </row>
    <row r="208" spans="1:7" ht="14.4" x14ac:dyDescent="0.3">
      <c r="A208"/>
      <c r="B208"/>
      <c r="C208"/>
      <c r="E208"/>
      <c r="F208"/>
      <c r="G208"/>
    </row>
  </sheetData>
  <mergeCells count="2">
    <mergeCell ref="E1:G1"/>
    <mergeCell ref="A1:C1"/>
  </mergeCell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FFB0-FE1B-4823-9D14-8C453BA2A0B6}">
  <dimension ref="A1:R420"/>
  <sheetViews>
    <sheetView showGridLines="0" zoomScaleNormal="100" workbookViewId="0">
      <selection activeCell="A39" sqref="A39"/>
    </sheetView>
  </sheetViews>
  <sheetFormatPr baseColWidth="10" defaultColWidth="11.44140625" defaultRowHeight="13.8" x14ac:dyDescent="0.25"/>
  <cols>
    <col min="1" max="1" width="18.88671875" style="8" bestFit="1" customWidth="1"/>
    <col min="2" max="2" width="13.6640625" style="8" bestFit="1" customWidth="1"/>
    <col min="3" max="3" width="12.33203125" style="8" bestFit="1" customWidth="1"/>
    <col min="4" max="15" width="11.44140625" style="8"/>
    <col min="16" max="16" width="19.109375" style="8" bestFit="1" customWidth="1"/>
    <col min="17" max="17" width="17.6640625" style="8" bestFit="1" customWidth="1"/>
    <col min="18" max="18" width="19.33203125" style="8" bestFit="1" customWidth="1"/>
    <col min="19" max="16384" width="11.44140625" style="8"/>
  </cols>
  <sheetData>
    <row r="1" spans="1:3" ht="14.4" x14ac:dyDescent="0.3">
      <c r="A1" s="41" t="s">
        <v>28</v>
      </c>
      <c r="B1" t="s">
        <v>381</v>
      </c>
    </row>
    <row r="2" spans="1:3" ht="14.4" x14ac:dyDescent="0.3">
      <c r="A2" s="41" t="s">
        <v>27</v>
      </c>
      <c r="B2" t="s">
        <v>381</v>
      </c>
      <c r="C2"/>
    </row>
    <row r="3" spans="1:3" ht="14.4" x14ac:dyDescent="0.3">
      <c r="A3"/>
      <c r="B3"/>
      <c r="C3"/>
    </row>
    <row r="4" spans="1:3" ht="14.4" x14ac:dyDescent="0.3">
      <c r="A4" s="41" t="s">
        <v>382</v>
      </c>
      <c r="B4" t="s">
        <v>383</v>
      </c>
      <c r="C4"/>
    </row>
    <row r="5" spans="1:3" ht="14.4" x14ac:dyDescent="0.3">
      <c r="A5" s="42" t="s">
        <v>381</v>
      </c>
      <c r="B5"/>
      <c r="C5"/>
    </row>
    <row r="6" spans="1:3" ht="14.4" x14ac:dyDescent="0.3">
      <c r="A6" s="42" t="s">
        <v>14</v>
      </c>
      <c r="B6"/>
      <c r="C6"/>
    </row>
    <row r="7" spans="1:3" ht="14.4" x14ac:dyDescent="0.3">
      <c r="A7"/>
      <c r="B7"/>
      <c r="C7"/>
    </row>
    <row r="8" spans="1:3" ht="14.4" x14ac:dyDescent="0.3">
      <c r="A8"/>
      <c r="B8"/>
      <c r="C8"/>
    </row>
    <row r="9" spans="1:3" ht="14.4" x14ac:dyDescent="0.3">
      <c r="A9"/>
      <c r="B9"/>
      <c r="C9"/>
    </row>
    <row r="10" spans="1:3" ht="14.4" x14ac:dyDescent="0.3">
      <c r="A10"/>
      <c r="B10"/>
      <c r="C10"/>
    </row>
    <row r="11" spans="1:3" ht="14.4" x14ac:dyDescent="0.3">
      <c r="A11"/>
      <c r="B11"/>
      <c r="C11"/>
    </row>
    <row r="12" spans="1:3" ht="14.4" x14ac:dyDescent="0.3">
      <c r="A12"/>
      <c r="B12"/>
      <c r="C12"/>
    </row>
    <row r="13" spans="1:3" ht="14.4" x14ac:dyDescent="0.3">
      <c r="A13"/>
      <c r="B13"/>
      <c r="C13"/>
    </row>
    <row r="14" spans="1:3" ht="14.4" x14ac:dyDescent="0.3">
      <c r="A14"/>
      <c r="B14"/>
      <c r="C14"/>
    </row>
    <row r="15" spans="1:3" ht="14.4" x14ac:dyDescent="0.3">
      <c r="A15"/>
      <c r="B15"/>
      <c r="C15"/>
    </row>
    <row r="16" spans="1:3" ht="14.4" x14ac:dyDescent="0.3">
      <c r="A16"/>
      <c r="B16"/>
      <c r="C16"/>
    </row>
    <row r="17" spans="1:3" ht="14.4" x14ac:dyDescent="0.3">
      <c r="A17"/>
      <c r="B17"/>
      <c r="C17"/>
    </row>
    <row r="18" spans="1:3" ht="14.4" x14ac:dyDescent="0.3">
      <c r="A18"/>
      <c r="B18"/>
      <c r="C18"/>
    </row>
    <row r="19" spans="1:3" ht="14.4" x14ac:dyDescent="0.3">
      <c r="A19"/>
      <c r="B19"/>
      <c r="C19"/>
    </row>
    <row r="28" spans="1:3" ht="14.4" x14ac:dyDescent="0.3">
      <c r="A28"/>
      <c r="B28"/>
    </row>
    <row r="29" spans="1:3" x14ac:dyDescent="0.25">
      <c r="A29" s="174" t="s">
        <v>26</v>
      </c>
      <c r="B29" s="175" t="s">
        <v>381</v>
      </c>
    </row>
    <row r="31" spans="1:3" x14ac:dyDescent="0.25">
      <c r="A31" s="174" t="s">
        <v>0</v>
      </c>
      <c r="B31" s="175" t="s">
        <v>384</v>
      </c>
    </row>
    <row r="32" spans="1:3" x14ac:dyDescent="0.25">
      <c r="A32" s="175" t="s">
        <v>381</v>
      </c>
      <c r="B32" s="175"/>
    </row>
    <row r="33" spans="1:2" x14ac:dyDescent="0.25">
      <c r="A33" s="175" t="s">
        <v>14</v>
      </c>
      <c r="B33" s="175"/>
    </row>
    <row r="34" spans="1:2" ht="14.4" x14ac:dyDescent="0.3">
      <c r="A34"/>
      <c r="B34"/>
    </row>
    <row r="35" spans="1:2" ht="14.4" x14ac:dyDescent="0.3">
      <c r="A35"/>
      <c r="B35"/>
    </row>
    <row r="36" spans="1:2" ht="14.4" x14ac:dyDescent="0.3">
      <c r="A36"/>
      <c r="B36"/>
    </row>
    <row r="37" spans="1:2" ht="14.4" x14ac:dyDescent="0.3">
      <c r="A37"/>
      <c r="B37"/>
    </row>
    <row r="39" spans="1:2" x14ac:dyDescent="0.25">
      <c r="A39" s="174" t="s">
        <v>26</v>
      </c>
      <c r="B39" s="175" t="s">
        <v>381</v>
      </c>
    </row>
    <row r="41" spans="1:2" x14ac:dyDescent="0.25">
      <c r="A41" s="174" t="s">
        <v>382</v>
      </c>
      <c r="B41" s="175" t="s">
        <v>384</v>
      </c>
    </row>
    <row r="42" spans="1:2" x14ac:dyDescent="0.25">
      <c r="A42" s="176" t="s">
        <v>381</v>
      </c>
      <c r="B42" s="175"/>
    </row>
    <row r="43" spans="1:2" x14ac:dyDescent="0.25">
      <c r="A43" s="176" t="s">
        <v>14</v>
      </c>
      <c r="B43" s="175"/>
    </row>
    <row r="44" spans="1:2" ht="14.4" x14ac:dyDescent="0.3">
      <c r="A44"/>
      <c r="B44"/>
    </row>
    <row r="45" spans="1:2" ht="14.4" x14ac:dyDescent="0.3">
      <c r="A45"/>
      <c r="B45"/>
    </row>
    <row r="46" spans="1:2" ht="14.4" x14ac:dyDescent="0.3">
      <c r="A46"/>
      <c r="B46"/>
    </row>
    <row r="47" spans="1:2" ht="14.4" x14ac:dyDescent="0.3">
      <c r="A47"/>
      <c r="B47"/>
    </row>
    <row r="48" spans="1:2" ht="14.4" x14ac:dyDescent="0.3">
      <c r="A48"/>
      <c r="B48"/>
    </row>
    <row r="49" spans="1:2" ht="14.4" x14ac:dyDescent="0.3">
      <c r="A49"/>
      <c r="B49"/>
    </row>
    <row r="50" spans="1:2" ht="14.4" x14ac:dyDescent="0.3">
      <c r="A50"/>
      <c r="B50"/>
    </row>
    <row r="51" spans="1:2" ht="14.4" x14ac:dyDescent="0.3">
      <c r="A51"/>
      <c r="B51"/>
    </row>
    <row r="52" spans="1:2" ht="14.4" x14ac:dyDescent="0.3">
      <c r="A52"/>
      <c r="B52"/>
    </row>
    <row r="53" spans="1:2" ht="14.4" x14ac:dyDescent="0.3">
      <c r="A53"/>
      <c r="B53"/>
    </row>
    <row r="54" spans="1:2" x14ac:dyDescent="0.25">
      <c r="A54" s="12"/>
    </row>
    <row r="55" spans="1:2" x14ac:dyDescent="0.25">
      <c r="A55" s="12"/>
    </row>
    <row r="56" spans="1:2" x14ac:dyDescent="0.25">
      <c r="A56" s="12"/>
    </row>
    <row r="57" spans="1:2" x14ac:dyDescent="0.25">
      <c r="A57" s="12"/>
    </row>
    <row r="58" spans="1:2" x14ac:dyDescent="0.25">
      <c r="A58" s="12"/>
    </row>
    <row r="59" spans="1:2" x14ac:dyDescent="0.25">
      <c r="A59" s="12"/>
    </row>
    <row r="60" spans="1:2" x14ac:dyDescent="0.25">
      <c r="A60" s="12"/>
    </row>
    <row r="61" spans="1:2" x14ac:dyDescent="0.25">
      <c r="A61" s="12"/>
    </row>
    <row r="62" spans="1:2" x14ac:dyDescent="0.25">
      <c r="A62" s="12"/>
    </row>
    <row r="63" spans="1:2" x14ac:dyDescent="0.25">
      <c r="A63" s="12"/>
    </row>
    <row r="64" spans="1:2" x14ac:dyDescent="0.25">
      <c r="A64" s="174" t="s">
        <v>26</v>
      </c>
      <c r="B64" s="175" t="s">
        <v>381</v>
      </c>
    </row>
    <row r="65" spans="1:2" x14ac:dyDescent="0.25">
      <c r="A65" s="174" t="s">
        <v>34</v>
      </c>
      <c r="B65" s="175" t="s">
        <v>381</v>
      </c>
    </row>
    <row r="67" spans="1:2" x14ac:dyDescent="0.25">
      <c r="A67" s="174" t="s">
        <v>382</v>
      </c>
      <c r="B67" s="175" t="s">
        <v>384</v>
      </c>
    </row>
    <row r="68" spans="1:2" x14ac:dyDescent="0.25">
      <c r="A68" s="176" t="s">
        <v>381</v>
      </c>
      <c r="B68" s="175"/>
    </row>
    <row r="69" spans="1:2" x14ac:dyDescent="0.25">
      <c r="A69" s="176" t="s">
        <v>14</v>
      </c>
      <c r="B69" s="175"/>
    </row>
    <row r="70" spans="1:2" ht="14.4" x14ac:dyDescent="0.3">
      <c r="A70"/>
      <c r="B70"/>
    </row>
    <row r="71" spans="1:2" ht="14.4" x14ac:dyDescent="0.3">
      <c r="A71"/>
      <c r="B71"/>
    </row>
    <row r="72" spans="1:2" ht="14.4" x14ac:dyDescent="0.3">
      <c r="A72"/>
      <c r="B72"/>
    </row>
    <row r="73" spans="1:2" ht="14.4" x14ac:dyDescent="0.3">
      <c r="A73"/>
      <c r="B73"/>
    </row>
    <row r="74" spans="1:2" x14ac:dyDescent="0.25">
      <c r="A74" s="12"/>
    </row>
    <row r="75" spans="1:2" x14ac:dyDescent="0.25">
      <c r="A75" s="12"/>
    </row>
    <row r="76" spans="1:2" x14ac:dyDescent="0.25">
      <c r="A76" s="12"/>
    </row>
    <row r="77" spans="1:2" x14ac:dyDescent="0.25">
      <c r="A77" s="12"/>
    </row>
    <row r="78" spans="1:2" x14ac:dyDescent="0.25">
      <c r="A78" s="12"/>
    </row>
    <row r="79" spans="1:2" x14ac:dyDescent="0.25">
      <c r="A79" s="12"/>
    </row>
    <row r="80" spans="1:2" x14ac:dyDescent="0.25">
      <c r="A80" s="10" t="s">
        <v>26</v>
      </c>
      <c r="B80" s="8" t="s">
        <v>385</v>
      </c>
    </row>
    <row r="81" spans="1:2" x14ac:dyDescent="0.25">
      <c r="A81" s="10" t="s">
        <v>34</v>
      </c>
      <c r="B81" s="8" t="s">
        <v>385</v>
      </c>
    </row>
    <row r="83" spans="1:2" x14ac:dyDescent="0.25">
      <c r="A83" s="10" t="s">
        <v>382</v>
      </c>
      <c r="B83" s="8" t="s">
        <v>384</v>
      </c>
    </row>
    <row r="84" spans="1:2" x14ac:dyDescent="0.25">
      <c r="A84" s="12" t="s">
        <v>3</v>
      </c>
      <c r="B84" s="8">
        <v>78</v>
      </c>
    </row>
    <row r="85" spans="1:2" x14ac:dyDescent="0.25">
      <c r="A85" s="12" t="s">
        <v>130</v>
      </c>
      <c r="B85" s="8">
        <v>49</v>
      </c>
    </row>
    <row r="86" spans="1:2" x14ac:dyDescent="0.25">
      <c r="A86" s="12" t="s">
        <v>181</v>
      </c>
      <c r="B86" s="8">
        <v>53</v>
      </c>
    </row>
    <row r="87" spans="1:2" x14ac:dyDescent="0.25">
      <c r="A87" s="12" t="s">
        <v>169</v>
      </c>
      <c r="B87" s="8">
        <v>9</v>
      </c>
    </row>
    <row r="88" spans="1:2" x14ac:dyDescent="0.25">
      <c r="A88" s="12" t="s">
        <v>15</v>
      </c>
      <c r="B88" s="8">
        <v>1</v>
      </c>
    </row>
    <row r="89" spans="1:2" x14ac:dyDescent="0.25">
      <c r="A89" s="12" t="s">
        <v>17</v>
      </c>
      <c r="B89" s="8">
        <v>6</v>
      </c>
    </row>
    <row r="90" spans="1:2" x14ac:dyDescent="0.25">
      <c r="A90" s="12" t="s">
        <v>386</v>
      </c>
      <c r="B90" s="8">
        <v>3</v>
      </c>
    </row>
    <row r="91" spans="1:2" x14ac:dyDescent="0.25">
      <c r="A91" s="12" t="s">
        <v>387</v>
      </c>
      <c r="B91" s="8">
        <v>5</v>
      </c>
    </row>
    <row r="92" spans="1:2" x14ac:dyDescent="0.25">
      <c r="A92" s="12" t="s">
        <v>14</v>
      </c>
      <c r="B92" s="8">
        <v>204</v>
      </c>
    </row>
    <row r="100" spans="1:18" ht="27.6" x14ac:dyDescent="0.25">
      <c r="A100" s="12" t="s">
        <v>388</v>
      </c>
      <c r="B100" s="12" t="s">
        <v>389</v>
      </c>
      <c r="C100" s="12" t="s">
        <v>390</v>
      </c>
      <c r="D100" s="13" t="s">
        <v>391</v>
      </c>
      <c r="E100" s="14"/>
      <c r="F100" s="15" t="s">
        <v>276</v>
      </c>
      <c r="G100" s="15" t="s">
        <v>392</v>
      </c>
      <c r="H100" s="15" t="s">
        <v>393</v>
      </c>
      <c r="I100" s="15" t="s">
        <v>394</v>
      </c>
      <c r="J100" s="15" t="s">
        <v>395</v>
      </c>
      <c r="K100" s="15"/>
      <c r="L100" s="15" t="s">
        <v>392</v>
      </c>
      <c r="M100" s="15" t="s">
        <v>395</v>
      </c>
      <c r="N100" s="15" t="s">
        <v>394</v>
      </c>
      <c r="P100" s="12" t="s">
        <v>388</v>
      </c>
      <c r="Q100" s="12" t="s">
        <v>396</v>
      </c>
      <c r="R100" s="12" t="s">
        <v>397</v>
      </c>
    </row>
    <row r="101" spans="1:18" x14ac:dyDescent="0.25">
      <c r="A101" s="16">
        <f>Incidencias!B211</f>
        <v>0</v>
      </c>
      <c r="B101" s="12">
        <f>IF(Incidencias!E211="Mejora",0,MONTH(Incidencias!C211))</f>
        <v>1</v>
      </c>
      <c r="C101" s="12">
        <f>IF(Incidencias!M211="Entregada",MONTH(Incidencias!N211),0)</f>
        <v>0</v>
      </c>
      <c r="D101" s="16">
        <f>IF(Incidencias!M211="Cerrada",MONTH(Incidencias!O211),0)</f>
        <v>0</v>
      </c>
      <c r="E101" s="14"/>
      <c r="F101" s="9">
        <v>4</v>
      </c>
      <c r="G101" s="9">
        <f t="shared" ref="G101:I105" si="0">COUNTIF(B$100:B$409,$F101)</f>
        <v>0</v>
      </c>
      <c r="H101" s="9">
        <f t="shared" si="0"/>
        <v>0</v>
      </c>
      <c r="I101" s="9">
        <f t="shared" si="0"/>
        <v>0</v>
      </c>
      <c r="J101" s="9">
        <f t="shared" ref="J101:J106" si="1">H101+I101</f>
        <v>0</v>
      </c>
      <c r="K101" s="17">
        <v>44287</v>
      </c>
      <c r="L101" s="9">
        <f>G101</f>
        <v>0</v>
      </c>
      <c r="M101" s="9">
        <f>J101</f>
        <v>0</v>
      </c>
      <c r="N101" s="9">
        <f>I101</f>
        <v>0</v>
      </c>
      <c r="P101" s="16">
        <f>Incidencias!B211</f>
        <v>0</v>
      </c>
      <c r="Q101" s="12">
        <f>IF(Incidencias!E211="MEJORA",0,WEEKNUM(Incidencias!C211))</f>
        <v>0</v>
      </c>
      <c r="R101" s="16">
        <f>WEEKNUM(Incidencias!N211)</f>
        <v>0</v>
      </c>
    </row>
    <row r="102" spans="1:18" x14ac:dyDescent="0.25">
      <c r="A102" s="16" t="e">
        <f>Incidencias!#REF!</f>
        <v>#REF!</v>
      </c>
      <c r="B102" s="12" t="e">
        <f>IF(Incidencias!#REF!="Mejora",0,MONTH(Incidencias!#REF!))</f>
        <v>#REF!</v>
      </c>
      <c r="C102" s="12" t="e">
        <f>IF(Incidencias!#REF!="Entregada",MONTH(Incidencias!#REF!),0)</f>
        <v>#REF!</v>
      </c>
      <c r="D102" s="16" t="e">
        <f>IF(Incidencias!#REF!="Cerrada",MONTH(Incidencias!#REF!),0)</f>
        <v>#REF!</v>
      </c>
      <c r="E102" s="14"/>
      <c r="F102" s="9">
        <v>5</v>
      </c>
      <c r="G102" s="9">
        <f t="shared" si="0"/>
        <v>0</v>
      </c>
      <c r="H102" s="9">
        <f t="shared" si="0"/>
        <v>0</v>
      </c>
      <c r="I102" s="9">
        <f t="shared" si="0"/>
        <v>0</v>
      </c>
      <c r="J102" s="9">
        <f t="shared" si="1"/>
        <v>0</v>
      </c>
      <c r="K102" s="17">
        <v>44317</v>
      </c>
      <c r="L102" s="9">
        <f>L101+G102</f>
        <v>0</v>
      </c>
      <c r="M102" s="9">
        <f>J102+M101</f>
        <v>0</v>
      </c>
      <c r="N102" s="9">
        <f>N101+I102</f>
        <v>0</v>
      </c>
      <c r="P102" s="16" t="e">
        <f>Incidencias!#REF!</f>
        <v>#REF!</v>
      </c>
      <c r="Q102" s="12" t="e">
        <f>IF(Incidencias!#REF!="MEJORA",0,WEEKNUM(Incidencias!#REF!))</f>
        <v>#REF!</v>
      </c>
      <c r="R102" s="16" t="e">
        <f>WEEKNUM(Incidencias!#REF!)</f>
        <v>#REF!</v>
      </c>
    </row>
    <row r="103" spans="1:18" x14ac:dyDescent="0.25">
      <c r="A103" s="16" t="str">
        <f>Incidencias!B9</f>
        <v>EUR0001</v>
      </c>
      <c r="B103" s="12">
        <f>IF(Incidencias!E9="Mejora",0,MONTH(Incidencias!C9))</f>
        <v>1</v>
      </c>
      <c r="C103" s="12">
        <f>IF(Incidencias!M9="Entregada",MONTH(Incidencias!N9),0)</f>
        <v>0</v>
      </c>
      <c r="D103" s="16">
        <f>IF(Incidencias!M9="Cerrada",MONTH(Incidencias!O9),0)</f>
        <v>0</v>
      </c>
      <c r="E103" s="14"/>
      <c r="F103" s="9">
        <v>6</v>
      </c>
      <c r="G103" s="9">
        <f t="shared" si="0"/>
        <v>0</v>
      </c>
      <c r="H103" s="9">
        <f t="shared" si="0"/>
        <v>0</v>
      </c>
      <c r="I103" s="9">
        <f t="shared" si="0"/>
        <v>0</v>
      </c>
      <c r="J103" s="9">
        <f t="shared" si="1"/>
        <v>0</v>
      </c>
      <c r="K103" s="17">
        <v>44348</v>
      </c>
      <c r="L103" s="9">
        <f>L102+G103</f>
        <v>0</v>
      </c>
      <c r="M103" s="9">
        <f>J103+M102</f>
        <v>0</v>
      </c>
      <c r="N103" s="9">
        <f>N102+I103</f>
        <v>0</v>
      </c>
      <c r="P103" s="16" t="str">
        <f>Incidencias!B9</f>
        <v>EUR0001</v>
      </c>
      <c r="Q103" s="12">
        <f>IF(Incidencias!E9="MEJORA",0,WEEKNUM(Incidencias!C9))</f>
        <v>3</v>
      </c>
      <c r="R103" s="16">
        <f>WEEKNUM(Incidencias!N9)</f>
        <v>0</v>
      </c>
    </row>
    <row r="104" spans="1:18" x14ac:dyDescent="0.25">
      <c r="A104" s="16" t="str">
        <f>Incidencias!B10</f>
        <v>EUR0002</v>
      </c>
      <c r="B104" s="12">
        <f>IF(Incidencias!E10="Mejora",0,MONTH(Incidencias!C10))</f>
        <v>1</v>
      </c>
      <c r="C104" s="12">
        <f>IF(Incidencias!M10="Entregada",MONTH(Incidencias!N10),0)</f>
        <v>0</v>
      </c>
      <c r="D104" s="16">
        <f>IF(Incidencias!M10="Cerrada",MONTH(Incidencias!O10),0)</f>
        <v>0</v>
      </c>
      <c r="E104" s="14"/>
      <c r="F104" s="9">
        <v>7</v>
      </c>
      <c r="G104" s="9">
        <f t="shared" si="0"/>
        <v>0</v>
      </c>
      <c r="H104" s="9">
        <f t="shared" si="0"/>
        <v>0</v>
      </c>
      <c r="I104" s="9">
        <f t="shared" si="0"/>
        <v>0</v>
      </c>
      <c r="J104" s="9">
        <f t="shared" si="1"/>
        <v>0</v>
      </c>
      <c r="K104" s="17">
        <v>44378</v>
      </c>
      <c r="L104" s="9">
        <f>L103+G104</f>
        <v>0</v>
      </c>
      <c r="M104" s="9">
        <f>J104+M103</f>
        <v>0</v>
      </c>
      <c r="N104" s="9">
        <f>N103+I104</f>
        <v>0</v>
      </c>
      <c r="P104" s="16" t="str">
        <f>Incidencias!B10</f>
        <v>EUR0002</v>
      </c>
      <c r="Q104" s="12">
        <f>IF(Incidencias!E10="MEJORA",0,WEEKNUM(Incidencias!C10))</f>
        <v>3</v>
      </c>
      <c r="R104" s="16">
        <f>WEEKNUM(Incidencias!N10)</f>
        <v>3</v>
      </c>
    </row>
    <row r="105" spans="1:18" x14ac:dyDescent="0.25">
      <c r="A105" s="16" t="str">
        <f>Incidencias!B13</f>
        <v>EUR0005</v>
      </c>
      <c r="B105" s="12">
        <f>IF(Incidencias!E13="Mejora",0,MONTH(Incidencias!C13))</f>
        <v>1</v>
      </c>
      <c r="C105" s="12">
        <f>IF(Incidencias!M13="Entregada",MONTH(Incidencias!N13),0)</f>
        <v>0</v>
      </c>
      <c r="D105" s="16">
        <f>IF(Incidencias!M13="Cerrada",MONTH(Incidencias!O13),0)</f>
        <v>0</v>
      </c>
      <c r="E105" s="14"/>
      <c r="F105" s="9">
        <v>8</v>
      </c>
      <c r="G105" s="9">
        <f t="shared" si="0"/>
        <v>0</v>
      </c>
      <c r="H105" s="9">
        <f t="shared" si="0"/>
        <v>0</v>
      </c>
      <c r="I105" s="9">
        <f t="shared" si="0"/>
        <v>0</v>
      </c>
      <c r="J105" s="9">
        <f t="shared" si="1"/>
        <v>0</v>
      </c>
      <c r="K105" s="17">
        <v>44409</v>
      </c>
      <c r="L105" s="9">
        <f>L104+G105</f>
        <v>0</v>
      </c>
      <c r="M105" s="9">
        <f>J105+M104</f>
        <v>0</v>
      </c>
      <c r="N105" s="9">
        <f>N104+I105</f>
        <v>0</v>
      </c>
      <c r="P105" s="16" t="str">
        <f>Incidencias!B13</f>
        <v>EUR0005</v>
      </c>
      <c r="Q105" s="12">
        <f>IF(Incidencias!E13="MEJORA",0,WEEKNUM(Incidencias!C13))</f>
        <v>3</v>
      </c>
      <c r="R105" s="16">
        <f>WEEKNUM(Incidencias!N13)</f>
        <v>0</v>
      </c>
    </row>
    <row r="106" spans="1:18" x14ac:dyDescent="0.25">
      <c r="A106" s="16" t="str">
        <f>Incidencias!B14</f>
        <v>EUR0006</v>
      </c>
      <c r="B106" s="12">
        <f>IF(Incidencias!E14="Mejora",0,MONTH(Incidencias!C14))</f>
        <v>1</v>
      </c>
      <c r="C106" s="12">
        <f>IF(Incidencias!M14="Entregada",MONTH(Incidencias!N14),0)</f>
        <v>0</v>
      </c>
      <c r="D106" s="16">
        <f>IF(Incidencias!M14="Cerrada",MONTH(Incidencias!O14),0)</f>
        <v>0</v>
      </c>
      <c r="E106" s="14"/>
      <c r="F106" s="9">
        <v>9</v>
      </c>
      <c r="G106" s="9">
        <f>COUNTIF(B$100:B$420,$F106)</f>
        <v>0</v>
      </c>
      <c r="H106" s="9">
        <f>COUNTIF(C$100:C$420,$F106)</f>
        <v>0</v>
      </c>
      <c r="I106" s="9">
        <f>COUNTIF(D$100:D$420,$F106)</f>
        <v>0</v>
      </c>
      <c r="J106" s="9">
        <f t="shared" si="1"/>
        <v>0</v>
      </c>
      <c r="K106" s="17">
        <v>44440</v>
      </c>
      <c r="L106" s="9">
        <f>L105+G106</f>
        <v>0</v>
      </c>
      <c r="M106" s="9">
        <f>J106+M105</f>
        <v>0</v>
      </c>
      <c r="N106" s="9">
        <f>N105+I106</f>
        <v>0</v>
      </c>
      <c r="P106" s="16" t="str">
        <f>Incidencias!B14</f>
        <v>EUR0006</v>
      </c>
      <c r="Q106" s="12">
        <f>IF(Incidencias!E14="MEJORA",0,WEEKNUM(Incidencias!C14))</f>
        <v>3</v>
      </c>
      <c r="R106" s="16">
        <f>WEEKNUM(Incidencias!N14)</f>
        <v>0</v>
      </c>
    </row>
    <row r="107" spans="1:18" x14ac:dyDescent="0.25">
      <c r="A107" s="16" t="str">
        <f>Incidencias!B15</f>
        <v>EUR0007</v>
      </c>
      <c r="B107" s="12">
        <f>IF(Incidencias!E15="Mejora",0,MONTH(Incidencias!C15))</f>
        <v>1</v>
      </c>
      <c r="C107" s="12">
        <f>IF(Incidencias!M15="Entregada",MONTH(Incidencias!N15),0)</f>
        <v>0</v>
      </c>
      <c r="D107" s="16">
        <f>IF(Incidencias!M15="Cerrada",MONTH(Incidencias!O15),0)</f>
        <v>0</v>
      </c>
      <c r="E107" s="14"/>
      <c r="P107" s="16" t="str">
        <f>Incidencias!B15</f>
        <v>EUR0007</v>
      </c>
      <c r="Q107" s="12">
        <f>IF(Incidencias!E15="MEJORA",0,WEEKNUM(Incidencias!C15))</f>
        <v>3</v>
      </c>
      <c r="R107" s="16">
        <f>WEEKNUM(Incidencias!N15)</f>
        <v>0</v>
      </c>
    </row>
    <row r="108" spans="1:18" x14ac:dyDescent="0.25">
      <c r="A108" s="16" t="str">
        <f>Incidencias!B16</f>
        <v>EUR0008</v>
      </c>
      <c r="B108" s="12">
        <f>IF(Incidencias!E16="Mejora",0,MONTH(Incidencias!C16))</f>
        <v>1</v>
      </c>
      <c r="C108" s="12">
        <f>IF(Incidencias!M16="Entregada",MONTH(Incidencias!N16),0)</f>
        <v>0</v>
      </c>
      <c r="D108" s="16">
        <f>IF(Incidencias!M16="Cerrada",MONTH(Incidencias!O16),0)</f>
        <v>0</v>
      </c>
      <c r="E108" s="14"/>
      <c r="P108" s="16" t="str">
        <f>Incidencias!B16</f>
        <v>EUR0008</v>
      </c>
      <c r="Q108" s="12">
        <f>IF(Incidencias!E16="MEJORA",0,WEEKNUM(Incidencias!C16))</f>
        <v>3</v>
      </c>
      <c r="R108" s="16">
        <f>WEEKNUM(Incidencias!N16)</f>
        <v>0</v>
      </c>
    </row>
    <row r="109" spans="1:18" x14ac:dyDescent="0.25">
      <c r="A109" s="16" t="str">
        <f>Incidencias!B17</f>
        <v>EUR0009</v>
      </c>
      <c r="B109" s="12">
        <f>IF(Incidencias!E17="Mejora",0,MONTH(Incidencias!C17))</f>
        <v>1</v>
      </c>
      <c r="C109" s="12">
        <f>IF(Incidencias!M17="Entregada",MONTH(Incidencias!N17),0)</f>
        <v>0</v>
      </c>
      <c r="D109" s="16">
        <f>IF(Incidencias!M17="Cerrada",MONTH(Incidencias!O17),0)</f>
        <v>0</v>
      </c>
      <c r="E109" s="14"/>
      <c r="P109" s="16" t="str">
        <f>Incidencias!B17</f>
        <v>EUR0009</v>
      </c>
      <c r="Q109" s="12">
        <f>IF(Incidencias!E17="MEJORA",0,WEEKNUM(Incidencias!C17))</f>
        <v>3</v>
      </c>
      <c r="R109" s="16">
        <f>WEEKNUM(Incidencias!N17)</f>
        <v>0</v>
      </c>
    </row>
    <row r="110" spans="1:18" x14ac:dyDescent="0.25">
      <c r="A110" s="16" t="str">
        <f>Incidencias!B18</f>
        <v>EUR0010</v>
      </c>
      <c r="B110" s="12">
        <f>IF(Incidencias!E18="Mejora",0,MONTH(Incidencias!C18))</f>
        <v>1</v>
      </c>
      <c r="C110" s="12">
        <f>IF(Incidencias!M18="Entregada",MONTH(Incidencias!N18),0)</f>
        <v>0</v>
      </c>
      <c r="D110" s="16">
        <f>IF(Incidencias!M18="Cerrada",MONTH(Incidencias!O18),0)</f>
        <v>0</v>
      </c>
      <c r="E110" s="14"/>
      <c r="P110" s="16" t="str">
        <f>Incidencias!B18</f>
        <v>EUR0010</v>
      </c>
      <c r="Q110" s="12">
        <f>IF(Incidencias!E18="MEJORA",0,WEEKNUM(Incidencias!C18))</f>
        <v>2</v>
      </c>
      <c r="R110" s="16">
        <f>WEEKNUM(Incidencias!N18)</f>
        <v>0</v>
      </c>
    </row>
    <row r="111" spans="1:18" x14ac:dyDescent="0.25">
      <c r="A111" s="16" t="str">
        <f>Incidencias!B21</f>
        <v>EUR0013</v>
      </c>
      <c r="B111" s="12">
        <f>IF(Incidencias!E21="Mejora",0,MONTH(Incidencias!C21))</f>
        <v>1</v>
      </c>
      <c r="C111" s="12">
        <f>IF(Incidencias!M21="Entregada",MONTH(Incidencias!N21),0)</f>
        <v>0</v>
      </c>
      <c r="D111" s="16">
        <f>IF(Incidencias!M21="Cerrada",MONTH(Incidencias!O21),0)</f>
        <v>0</v>
      </c>
      <c r="E111" s="14"/>
      <c r="P111" s="16" t="str">
        <f>Incidencias!B21</f>
        <v>EUR0013</v>
      </c>
      <c r="Q111" s="12">
        <f>IF(Incidencias!E21="MEJORA",0,WEEKNUM(Incidencias!C21))</f>
        <v>3</v>
      </c>
      <c r="R111" s="16">
        <f>WEEKNUM(Incidencias!N21)</f>
        <v>0</v>
      </c>
    </row>
    <row r="112" spans="1:18" x14ac:dyDescent="0.25">
      <c r="A112" s="16" t="str">
        <f>Incidencias!B22</f>
        <v>EUR0014</v>
      </c>
      <c r="B112" s="12">
        <f>IF(Incidencias!E22="Mejora",0,MONTH(Incidencias!C22))</f>
        <v>1</v>
      </c>
      <c r="C112" s="12">
        <f>IF(Incidencias!M22="Entregada",MONTH(Incidencias!N22),0)</f>
        <v>0</v>
      </c>
      <c r="D112" s="16">
        <f>IF(Incidencias!M22="Cerrada",MONTH(Incidencias!O22),0)</f>
        <v>0</v>
      </c>
      <c r="E112" s="14"/>
      <c r="P112" s="16" t="str">
        <f>Incidencias!B22</f>
        <v>EUR0014</v>
      </c>
      <c r="Q112" s="12">
        <f>IF(Incidencias!E22="MEJORA",0,WEEKNUM(Incidencias!C22))</f>
        <v>5</v>
      </c>
      <c r="R112" s="16">
        <f>WEEKNUM(Incidencias!N22)</f>
        <v>0</v>
      </c>
    </row>
    <row r="113" spans="1:18" x14ac:dyDescent="0.25">
      <c r="A113" s="16" t="str">
        <f>Incidencias!B23</f>
        <v>EUR0015</v>
      </c>
      <c r="B113" s="12">
        <f>IF(Incidencias!E23="Mejora",0,MONTH(Incidencias!C23))</f>
        <v>1</v>
      </c>
      <c r="C113" s="12">
        <f>IF(Incidencias!M23="Entregada",MONTH(Incidencias!N23),0)</f>
        <v>0</v>
      </c>
      <c r="D113" s="16">
        <f>IF(Incidencias!M23="Cerrada",MONTH(Incidencias!O23),0)</f>
        <v>0</v>
      </c>
      <c r="E113" s="14"/>
      <c r="P113" s="16" t="str">
        <f>Incidencias!B23</f>
        <v>EUR0015</v>
      </c>
      <c r="Q113" s="12">
        <f>IF(Incidencias!E23="MEJORA",0,WEEKNUM(Incidencias!C23))</f>
        <v>4</v>
      </c>
      <c r="R113" s="16">
        <f>WEEKNUM(Incidencias!N23)</f>
        <v>0</v>
      </c>
    </row>
    <row r="114" spans="1:18" x14ac:dyDescent="0.25">
      <c r="A114" s="16" t="e">
        <f>Incidencias!#REF!</f>
        <v>#REF!</v>
      </c>
      <c r="B114" s="12" t="e">
        <f>IF(Incidencias!#REF!="Mejora",0,MONTH(Incidencias!#REF!))</f>
        <v>#REF!</v>
      </c>
      <c r="C114" s="12" t="e">
        <f>IF(Incidencias!#REF!="Entregada",MONTH(Incidencias!#REF!),0)</f>
        <v>#REF!</v>
      </c>
      <c r="D114" s="16" t="e">
        <f>IF(Incidencias!#REF!="Cerrada",MONTH(Incidencias!#REF!),0)</f>
        <v>#REF!</v>
      </c>
      <c r="E114" s="14"/>
      <c r="P114" s="16" t="e">
        <f>Incidencias!#REF!</f>
        <v>#REF!</v>
      </c>
      <c r="Q114" s="12" t="e">
        <f>IF(Incidencias!#REF!="MEJORA",0,WEEKNUM(Incidencias!#REF!))</f>
        <v>#REF!</v>
      </c>
      <c r="R114" s="16" t="e">
        <f>WEEKNUM(Incidencias!#REF!)</f>
        <v>#REF!</v>
      </c>
    </row>
    <row r="115" spans="1:18" x14ac:dyDescent="0.25">
      <c r="A115" s="16">
        <f>Incidencias!B25</f>
        <v>0</v>
      </c>
      <c r="B115" s="12">
        <f>IF(Incidencias!E25="Mejora",0,MONTH(Incidencias!C25))</f>
        <v>1</v>
      </c>
      <c r="C115" s="12">
        <f>IF(Incidencias!M25="Entregada",MONTH(Incidencias!N25),0)</f>
        <v>0</v>
      </c>
      <c r="D115" s="16">
        <f>IF(Incidencias!M25="Cerrada",MONTH(Incidencias!O25),0)</f>
        <v>0</v>
      </c>
      <c r="E115" s="14"/>
      <c r="O115" s="14"/>
      <c r="P115" s="16">
        <f>Incidencias!B25</f>
        <v>0</v>
      </c>
      <c r="Q115" s="12">
        <f>IF(Incidencias!E25="MEJORA",0,WEEKNUM(Incidencias!C25))</f>
        <v>0</v>
      </c>
      <c r="R115" s="16">
        <f>WEEKNUM(Incidencias!N25)</f>
        <v>0</v>
      </c>
    </row>
    <row r="116" spans="1:18" x14ac:dyDescent="0.25">
      <c r="A116" s="16">
        <f>Incidencias!B26</f>
        <v>0</v>
      </c>
      <c r="B116" s="12">
        <f>IF(Incidencias!E26="Mejora",0,MONTH(Incidencias!C26))</f>
        <v>1</v>
      </c>
      <c r="C116" s="12">
        <f>IF(Incidencias!M26="Entregada",MONTH(Incidencias!N26),0)</f>
        <v>0</v>
      </c>
      <c r="D116" s="16">
        <f>IF(Incidencias!M26="Cerrada",MONTH(Incidencias!O26),0)</f>
        <v>0</v>
      </c>
      <c r="E116" s="14"/>
      <c r="O116" s="14"/>
      <c r="P116" s="16">
        <f>Incidencias!B26</f>
        <v>0</v>
      </c>
      <c r="Q116" s="12">
        <f>IF(Incidencias!E26="MEJORA",0,WEEKNUM(Incidencias!C26))</f>
        <v>0</v>
      </c>
      <c r="R116" s="16">
        <f>WEEKNUM(Incidencias!N26)</f>
        <v>0</v>
      </c>
    </row>
    <row r="117" spans="1:18" x14ac:dyDescent="0.25">
      <c r="A117" s="16">
        <f>Incidencias!B27</f>
        <v>0</v>
      </c>
      <c r="B117" s="12">
        <f>IF(Incidencias!E27="Mejora",0,MONTH(Incidencias!C27))</f>
        <v>1</v>
      </c>
      <c r="C117" s="12">
        <f>IF(Incidencias!M27="Entregada",MONTH(Incidencias!N27),0)</f>
        <v>0</v>
      </c>
      <c r="D117" s="16">
        <f>IF(Incidencias!M27="Cerrada",MONTH(Incidencias!O27),0)</f>
        <v>0</v>
      </c>
      <c r="E117" s="14"/>
      <c r="O117" s="14"/>
      <c r="P117" s="16">
        <f>Incidencias!B27</f>
        <v>0</v>
      </c>
      <c r="Q117" s="12">
        <f>IF(Incidencias!E27="MEJORA",0,WEEKNUM(Incidencias!C27))</f>
        <v>0</v>
      </c>
      <c r="R117" s="16">
        <f>WEEKNUM(Incidencias!N27)</f>
        <v>0</v>
      </c>
    </row>
    <row r="118" spans="1:18" x14ac:dyDescent="0.25">
      <c r="A118" s="16">
        <f>Incidencias!B28</f>
        <v>0</v>
      </c>
      <c r="B118" s="12">
        <f>IF(Incidencias!E28="Mejora",0,MONTH(Incidencias!C28))</f>
        <v>1</v>
      </c>
      <c r="C118" s="12">
        <f>IF(Incidencias!M28="Entregada",MONTH(Incidencias!N28),0)</f>
        <v>0</v>
      </c>
      <c r="D118" s="16">
        <f>IF(Incidencias!M28="Cerrada",MONTH(Incidencias!O28),0)</f>
        <v>0</v>
      </c>
      <c r="E118" s="14"/>
      <c r="O118" s="14"/>
      <c r="P118" s="16">
        <f>Incidencias!B28</f>
        <v>0</v>
      </c>
      <c r="Q118" s="12">
        <f>IF(Incidencias!E28="MEJORA",0,WEEKNUM(Incidencias!C28))</f>
        <v>0</v>
      </c>
      <c r="R118" s="16">
        <f>WEEKNUM(Incidencias!N28)</f>
        <v>0</v>
      </c>
    </row>
    <row r="119" spans="1:18" x14ac:dyDescent="0.25">
      <c r="A119" s="16">
        <f>Incidencias!B29</f>
        <v>0</v>
      </c>
      <c r="B119" s="12">
        <f>IF(Incidencias!E29="Mejora",0,MONTH(Incidencias!C29))</f>
        <v>1</v>
      </c>
      <c r="C119" s="12">
        <f>IF(Incidencias!M29="Entregada",MONTH(Incidencias!N29),0)</f>
        <v>0</v>
      </c>
      <c r="D119" s="16">
        <f>IF(Incidencias!M29="Cerrada",MONTH(Incidencias!O29),0)</f>
        <v>0</v>
      </c>
      <c r="E119" s="14"/>
      <c r="O119" s="14"/>
      <c r="P119" s="16">
        <f>Incidencias!B29</f>
        <v>0</v>
      </c>
      <c r="Q119" s="12">
        <f>IF(Incidencias!E29="MEJORA",0,WEEKNUM(Incidencias!C29))</f>
        <v>0</v>
      </c>
      <c r="R119" s="16">
        <f>WEEKNUM(Incidencias!N29)</f>
        <v>0</v>
      </c>
    </row>
    <row r="120" spans="1:18" x14ac:dyDescent="0.25">
      <c r="A120" s="16">
        <f>Incidencias!B35</f>
        <v>0</v>
      </c>
      <c r="B120" s="12">
        <f>IF(Incidencias!E35="Mejora",0,MONTH(Incidencias!C35))</f>
        <v>1</v>
      </c>
      <c r="C120" s="12">
        <f>IF(Incidencias!M35="Entregada",MONTH(Incidencias!N35),0)</f>
        <v>0</v>
      </c>
      <c r="D120" s="16">
        <f>IF(Incidencias!M35="Cerrada",MONTH(Incidencias!O35),0)</f>
        <v>0</v>
      </c>
      <c r="E120" s="14"/>
      <c r="O120" s="14"/>
      <c r="P120" s="16">
        <f>Incidencias!B35</f>
        <v>0</v>
      </c>
      <c r="Q120" s="12">
        <f>IF(Incidencias!E35="MEJORA",0,WEEKNUM(Incidencias!C35))</f>
        <v>0</v>
      </c>
      <c r="R120" s="16">
        <f>WEEKNUM(Incidencias!N35)</f>
        <v>0</v>
      </c>
    </row>
    <row r="121" spans="1:18" x14ac:dyDescent="0.25">
      <c r="A121" s="16">
        <f>Incidencias!B36</f>
        <v>0</v>
      </c>
      <c r="B121" s="12">
        <f>IF(Incidencias!E36="Mejora",0,MONTH(Incidencias!C36))</f>
        <v>1</v>
      </c>
      <c r="C121" s="12">
        <f>IF(Incidencias!M36="Entregada",MONTH(Incidencias!N36),0)</f>
        <v>0</v>
      </c>
      <c r="D121" s="16">
        <f>IF(Incidencias!M36="Cerrada",MONTH(Incidencias!O36),0)</f>
        <v>0</v>
      </c>
      <c r="E121" s="14"/>
      <c r="O121" s="14"/>
      <c r="P121" s="16">
        <f>Incidencias!B36</f>
        <v>0</v>
      </c>
      <c r="Q121" s="12">
        <f>IF(Incidencias!E36="MEJORA",0,WEEKNUM(Incidencias!C36))</f>
        <v>0</v>
      </c>
      <c r="R121" s="16">
        <f>WEEKNUM(Incidencias!N36)</f>
        <v>0</v>
      </c>
    </row>
    <row r="122" spans="1:18" x14ac:dyDescent="0.25">
      <c r="A122" s="16">
        <f>Incidencias!B39</f>
        <v>0</v>
      </c>
      <c r="B122" s="12">
        <f>IF(Incidencias!E39="Mejora",0,MONTH(Incidencias!C39))</f>
        <v>1</v>
      </c>
      <c r="C122" s="12">
        <f>IF(Incidencias!M39="Entregada",MONTH(Incidencias!N39),0)</f>
        <v>0</v>
      </c>
      <c r="D122" s="16">
        <f>IF(Incidencias!M39="Cerrada",MONTH(Incidencias!O39),0)</f>
        <v>0</v>
      </c>
      <c r="E122" s="14"/>
      <c r="O122" s="14"/>
      <c r="P122" s="16">
        <f>Incidencias!B39</f>
        <v>0</v>
      </c>
      <c r="Q122" s="12">
        <f>IF(Incidencias!E39="MEJORA",0,WEEKNUM(Incidencias!C39))</f>
        <v>0</v>
      </c>
      <c r="R122" s="16">
        <f>WEEKNUM(Incidencias!N39)</f>
        <v>0</v>
      </c>
    </row>
    <row r="123" spans="1:18" x14ac:dyDescent="0.25">
      <c r="A123" s="16">
        <f>Incidencias!B40</f>
        <v>0</v>
      </c>
      <c r="B123" s="12">
        <f>IF(Incidencias!E40="Mejora",0,MONTH(Incidencias!C40))</f>
        <v>1</v>
      </c>
      <c r="C123" s="12">
        <f>IF(Incidencias!M40="Entregada",MONTH(Incidencias!N40),0)</f>
        <v>0</v>
      </c>
      <c r="D123" s="16">
        <f>IF(Incidencias!M40="Cerrada",MONTH(Incidencias!O40),0)</f>
        <v>0</v>
      </c>
      <c r="E123" s="14"/>
      <c r="O123" s="14"/>
      <c r="P123" s="16">
        <f>Incidencias!B40</f>
        <v>0</v>
      </c>
      <c r="Q123" s="12">
        <f>IF(Incidencias!E40="MEJORA",0,WEEKNUM(Incidencias!C40))</f>
        <v>0</v>
      </c>
      <c r="R123" s="16">
        <f>WEEKNUM(Incidencias!N40)</f>
        <v>0</v>
      </c>
    </row>
    <row r="124" spans="1:18" x14ac:dyDescent="0.25">
      <c r="A124" s="16">
        <f>Incidencias!B41</f>
        <v>0</v>
      </c>
      <c r="B124" s="12">
        <f>IF(Incidencias!E41="Mejora",0,MONTH(Incidencias!C41))</f>
        <v>1</v>
      </c>
      <c r="C124" s="12">
        <f>IF(Incidencias!M41="Entregada",MONTH(Incidencias!N41),0)</f>
        <v>0</v>
      </c>
      <c r="D124" s="16">
        <f>IF(Incidencias!M41="Cerrada",MONTH(Incidencias!O41),0)</f>
        <v>0</v>
      </c>
      <c r="E124" s="14"/>
      <c r="O124" s="14"/>
      <c r="P124" s="16">
        <f>Incidencias!B41</f>
        <v>0</v>
      </c>
      <c r="Q124" s="12">
        <f>IF(Incidencias!E41="MEJORA",0,WEEKNUM(Incidencias!C41))</f>
        <v>0</v>
      </c>
      <c r="R124" s="16">
        <f>WEEKNUM(Incidencias!N41)</f>
        <v>0</v>
      </c>
    </row>
    <row r="125" spans="1:18" x14ac:dyDescent="0.25">
      <c r="A125" s="16">
        <f>Incidencias!B43</f>
        <v>0</v>
      </c>
      <c r="B125" s="12">
        <f>IF(Incidencias!E43="Mejora",0,MONTH(Incidencias!C43))</f>
        <v>1</v>
      </c>
      <c r="C125" s="12">
        <f>IF(Incidencias!M43="Entregada",MONTH(Incidencias!N43),0)</f>
        <v>0</v>
      </c>
      <c r="D125" s="16">
        <f>IF(Incidencias!M43="Cerrada",MONTH(Incidencias!O43),0)</f>
        <v>0</v>
      </c>
      <c r="E125" s="14"/>
      <c r="O125" s="14"/>
      <c r="P125" s="16">
        <f>Incidencias!B43</f>
        <v>0</v>
      </c>
      <c r="Q125" s="12">
        <f>IF(Incidencias!E43="MEJORA",0,WEEKNUM(Incidencias!C43))</f>
        <v>0</v>
      </c>
      <c r="R125" s="16">
        <f>WEEKNUM(Incidencias!N43)</f>
        <v>0</v>
      </c>
    </row>
    <row r="126" spans="1:18" x14ac:dyDescent="0.25">
      <c r="A126" s="16">
        <f>Incidencias!B44</f>
        <v>0</v>
      </c>
      <c r="B126" s="12">
        <f>IF(Incidencias!E44="Mejora",0,MONTH(Incidencias!C44))</f>
        <v>1</v>
      </c>
      <c r="C126" s="12">
        <f>IF(Incidencias!M44="Entregada",MONTH(Incidencias!N44),0)</f>
        <v>0</v>
      </c>
      <c r="D126" s="16">
        <f>IF(Incidencias!M44="Cerrada",MONTH(Incidencias!O44),0)</f>
        <v>0</v>
      </c>
      <c r="E126" s="14"/>
      <c r="O126" s="14"/>
      <c r="P126" s="16">
        <f>Incidencias!B44</f>
        <v>0</v>
      </c>
      <c r="Q126" s="12">
        <f>IF(Incidencias!E44="MEJORA",0,WEEKNUM(Incidencias!C44))</f>
        <v>0</v>
      </c>
      <c r="R126" s="16">
        <f>WEEKNUM(Incidencias!N44)</f>
        <v>0</v>
      </c>
    </row>
    <row r="127" spans="1:18" x14ac:dyDescent="0.25">
      <c r="A127" s="16">
        <f>Incidencias!B45</f>
        <v>0</v>
      </c>
      <c r="B127" s="12">
        <f>IF(Incidencias!E45="Mejora",0,MONTH(Incidencias!C45))</f>
        <v>1</v>
      </c>
      <c r="C127" s="12">
        <f>IF(Incidencias!M45="Entregada",MONTH(Incidencias!N45),0)</f>
        <v>0</v>
      </c>
      <c r="D127" s="16">
        <f>IF(Incidencias!M45="Cerrada",MONTH(Incidencias!O45),0)</f>
        <v>0</v>
      </c>
      <c r="E127" s="14"/>
      <c r="F127" s="15" t="s">
        <v>398</v>
      </c>
      <c r="G127" s="15" t="s">
        <v>392</v>
      </c>
      <c r="H127" s="15" t="s">
        <v>393</v>
      </c>
      <c r="I127" s="15" t="s">
        <v>398</v>
      </c>
      <c r="O127" s="14"/>
      <c r="P127" s="16">
        <f>Incidencias!B45</f>
        <v>0</v>
      </c>
      <c r="Q127" s="12">
        <f>IF(Incidencias!E45="MEJORA",0,WEEKNUM(Incidencias!C45))</f>
        <v>0</v>
      </c>
      <c r="R127" s="16">
        <f>WEEKNUM(Incidencias!N45)</f>
        <v>0</v>
      </c>
    </row>
    <row r="128" spans="1:18" x14ac:dyDescent="0.25">
      <c r="A128" s="16">
        <f>Incidencias!B46</f>
        <v>0</v>
      </c>
      <c r="B128" s="12">
        <f>IF(Incidencias!E46="Mejora",0,MONTH(Incidencias!C46))</f>
        <v>1</v>
      </c>
      <c r="C128" s="12">
        <f>IF(Incidencias!M46="Entregada",MONTH(Incidencias!N46),0)</f>
        <v>0</v>
      </c>
      <c r="D128" s="16">
        <f>IF(Incidencias!M46="Cerrada",MONTH(Incidencias!O46),0)</f>
        <v>0</v>
      </c>
      <c r="E128" s="14"/>
      <c r="F128" s="9">
        <v>14</v>
      </c>
      <c r="G128" s="9">
        <f t="shared" ref="G128:G149" si="2">COUNTIF(Q$100:Q$409,$F128)</f>
        <v>0</v>
      </c>
      <c r="H128" s="9">
        <f t="shared" ref="H128:H149" si="3">COUNTIF(R$100:R$409,$F128)</f>
        <v>0</v>
      </c>
      <c r="I128" s="17">
        <v>44284</v>
      </c>
      <c r="O128" s="14"/>
      <c r="P128" s="16">
        <f>Incidencias!B46</f>
        <v>0</v>
      </c>
      <c r="Q128" s="12">
        <f>IF(Incidencias!E46="MEJORA",0,WEEKNUM(Incidencias!C46))</f>
        <v>0</v>
      </c>
      <c r="R128" s="16">
        <f>WEEKNUM(Incidencias!N46)</f>
        <v>0</v>
      </c>
    </row>
    <row r="129" spans="1:18" x14ac:dyDescent="0.25">
      <c r="A129" s="16">
        <f>Incidencias!B47</f>
        <v>0</v>
      </c>
      <c r="B129" s="12">
        <f>IF(Incidencias!E47="Mejora",0,MONTH(Incidencias!C47))</f>
        <v>1</v>
      </c>
      <c r="C129" s="12">
        <f>IF(Incidencias!M47="Entregada",MONTH(Incidencias!N47),0)</f>
        <v>0</v>
      </c>
      <c r="D129" s="16">
        <f>IF(Incidencias!M47="Cerrada",MONTH(Incidencias!O47),0)</f>
        <v>0</v>
      </c>
      <c r="E129" s="14"/>
      <c r="F129" s="9">
        <v>15</v>
      </c>
      <c r="G129" s="9">
        <f t="shared" si="2"/>
        <v>0</v>
      </c>
      <c r="H129" s="9">
        <f t="shared" si="3"/>
        <v>0</v>
      </c>
      <c r="I129" s="17">
        <f>I128+7</f>
        <v>44291</v>
      </c>
      <c r="O129" s="14"/>
      <c r="P129" s="16">
        <f>Incidencias!B47</f>
        <v>0</v>
      </c>
      <c r="Q129" s="12">
        <f>IF(Incidencias!E47="MEJORA",0,WEEKNUM(Incidencias!C47))</f>
        <v>0</v>
      </c>
      <c r="R129" s="16">
        <f>WEEKNUM(Incidencias!N47)</f>
        <v>0</v>
      </c>
    </row>
    <row r="130" spans="1:18" x14ac:dyDescent="0.25">
      <c r="A130" s="16">
        <f>Incidencias!B48</f>
        <v>0</v>
      </c>
      <c r="B130" s="12">
        <f>IF(Incidencias!E48="Mejora",0,MONTH(Incidencias!C48))</f>
        <v>1</v>
      </c>
      <c r="C130" s="12">
        <f>IF(Incidencias!M48="Entregada",MONTH(Incidencias!N48),0)</f>
        <v>0</v>
      </c>
      <c r="D130" s="16">
        <f>IF(Incidencias!M48="Cerrada",MONTH(Incidencias!O48),0)</f>
        <v>0</v>
      </c>
      <c r="E130" s="14"/>
      <c r="F130" s="9">
        <v>16</v>
      </c>
      <c r="G130" s="9">
        <f t="shared" si="2"/>
        <v>0</v>
      </c>
      <c r="H130" s="9">
        <f t="shared" si="3"/>
        <v>0</v>
      </c>
      <c r="I130" s="17">
        <f t="shared" ref="I130:I151" si="4">I129+7</f>
        <v>44298</v>
      </c>
      <c r="O130" s="14"/>
      <c r="P130" s="16">
        <f>Incidencias!B48</f>
        <v>0</v>
      </c>
      <c r="Q130" s="12">
        <f>IF(Incidencias!E48="MEJORA",0,WEEKNUM(Incidencias!C48))</f>
        <v>0</v>
      </c>
      <c r="R130" s="16">
        <f>WEEKNUM(Incidencias!N48)</f>
        <v>0</v>
      </c>
    </row>
    <row r="131" spans="1:18" x14ac:dyDescent="0.25">
      <c r="A131" s="16">
        <f>Incidencias!B49</f>
        <v>0</v>
      </c>
      <c r="B131" s="12">
        <f>IF(Incidencias!E49="Mejora",0,MONTH(Incidencias!C49))</f>
        <v>1</v>
      </c>
      <c r="C131" s="12">
        <f>IF(Incidencias!M49="Entregada",MONTH(Incidencias!N49),0)</f>
        <v>0</v>
      </c>
      <c r="D131" s="16">
        <f>IF(Incidencias!M49="Cerrada",MONTH(Incidencias!O49),0)</f>
        <v>0</v>
      </c>
      <c r="E131" s="14"/>
      <c r="F131" s="9">
        <v>17</v>
      </c>
      <c r="G131" s="9">
        <f t="shared" si="2"/>
        <v>0</v>
      </c>
      <c r="H131" s="9">
        <f t="shared" si="3"/>
        <v>0</v>
      </c>
      <c r="I131" s="17">
        <f t="shared" si="4"/>
        <v>44305</v>
      </c>
      <c r="O131" s="14"/>
      <c r="P131" s="16">
        <f>Incidencias!B49</f>
        <v>0</v>
      </c>
      <c r="Q131" s="12">
        <f>IF(Incidencias!E49="MEJORA",0,WEEKNUM(Incidencias!C49))</f>
        <v>0</v>
      </c>
      <c r="R131" s="16">
        <f>WEEKNUM(Incidencias!N49)</f>
        <v>0</v>
      </c>
    </row>
    <row r="132" spans="1:18" x14ac:dyDescent="0.25">
      <c r="A132" s="16">
        <f>Incidencias!B50</f>
        <v>0</v>
      </c>
      <c r="B132" s="12">
        <f>IF(Incidencias!E50="Mejora",0,MONTH(Incidencias!C50))</f>
        <v>1</v>
      </c>
      <c r="C132" s="12">
        <f>IF(Incidencias!M50="Entregada",MONTH(Incidencias!N50),0)</f>
        <v>0</v>
      </c>
      <c r="D132" s="16">
        <f>IF(Incidencias!M50="Cerrada",MONTH(Incidencias!O50),0)</f>
        <v>0</v>
      </c>
      <c r="E132" s="14"/>
      <c r="F132" s="9">
        <v>18</v>
      </c>
      <c r="G132" s="9">
        <f t="shared" si="2"/>
        <v>0</v>
      </c>
      <c r="H132" s="9">
        <f t="shared" si="3"/>
        <v>0</v>
      </c>
      <c r="I132" s="17">
        <f t="shared" si="4"/>
        <v>44312</v>
      </c>
      <c r="O132" s="14"/>
      <c r="P132" s="16">
        <f>Incidencias!B50</f>
        <v>0</v>
      </c>
      <c r="Q132" s="12">
        <f>IF(Incidencias!E50="MEJORA",0,WEEKNUM(Incidencias!C50))</f>
        <v>0</v>
      </c>
      <c r="R132" s="16">
        <f>WEEKNUM(Incidencias!N50)</f>
        <v>0</v>
      </c>
    </row>
    <row r="133" spans="1:18" x14ac:dyDescent="0.25">
      <c r="A133" s="16">
        <f>Incidencias!B51</f>
        <v>0</v>
      </c>
      <c r="B133" s="12">
        <f>IF(Incidencias!E51="Mejora",0,MONTH(Incidencias!C51))</f>
        <v>1</v>
      </c>
      <c r="C133" s="12">
        <f>IF(Incidencias!M51="Entregada",MONTH(Incidencias!N51),0)</f>
        <v>0</v>
      </c>
      <c r="D133" s="16">
        <f>IF(Incidencias!M51="Cerrada",MONTH(Incidencias!O51),0)</f>
        <v>0</v>
      </c>
      <c r="E133" s="14"/>
      <c r="F133" s="9">
        <v>19</v>
      </c>
      <c r="G133" s="9">
        <f t="shared" si="2"/>
        <v>0</v>
      </c>
      <c r="H133" s="9">
        <f t="shared" si="3"/>
        <v>0</v>
      </c>
      <c r="I133" s="17">
        <f t="shared" si="4"/>
        <v>44319</v>
      </c>
      <c r="O133" s="14"/>
      <c r="P133" s="16">
        <f>Incidencias!B51</f>
        <v>0</v>
      </c>
      <c r="Q133" s="12">
        <f>IF(Incidencias!E51="MEJORA",0,WEEKNUM(Incidencias!C51))</f>
        <v>0</v>
      </c>
      <c r="R133" s="16">
        <f>WEEKNUM(Incidencias!N51)</f>
        <v>0</v>
      </c>
    </row>
    <row r="134" spans="1:18" x14ac:dyDescent="0.25">
      <c r="A134" s="16">
        <f>Incidencias!B52</f>
        <v>0</v>
      </c>
      <c r="B134" s="12">
        <f>IF(Incidencias!E52="Mejora",0,MONTH(Incidencias!C52))</f>
        <v>1</v>
      </c>
      <c r="C134" s="12">
        <f>IF(Incidencias!M52="Entregada",MONTH(Incidencias!N52),0)</f>
        <v>0</v>
      </c>
      <c r="D134" s="16">
        <f>IF(Incidencias!M52="Cerrada",MONTH(Incidencias!O52),0)</f>
        <v>0</v>
      </c>
      <c r="E134" s="14"/>
      <c r="F134" s="9">
        <v>20</v>
      </c>
      <c r="G134" s="9">
        <f t="shared" si="2"/>
        <v>0</v>
      </c>
      <c r="H134" s="9">
        <f t="shared" si="3"/>
        <v>0</v>
      </c>
      <c r="I134" s="17">
        <f t="shared" si="4"/>
        <v>44326</v>
      </c>
      <c r="O134" s="14"/>
      <c r="P134" s="16">
        <f>Incidencias!B52</f>
        <v>0</v>
      </c>
      <c r="Q134" s="12">
        <f>IF(Incidencias!E52="MEJORA",0,WEEKNUM(Incidencias!C52))</f>
        <v>0</v>
      </c>
      <c r="R134" s="16">
        <f>WEEKNUM(Incidencias!N52)</f>
        <v>0</v>
      </c>
    </row>
    <row r="135" spans="1:18" x14ac:dyDescent="0.25">
      <c r="A135" s="16">
        <f>Incidencias!B53</f>
        <v>0</v>
      </c>
      <c r="B135" s="12">
        <f>IF(Incidencias!E53="Mejora",0,MONTH(Incidencias!C53))</f>
        <v>1</v>
      </c>
      <c r="C135" s="12">
        <f>IF(Incidencias!M53="Entregada",MONTH(Incidencias!N53),0)</f>
        <v>0</v>
      </c>
      <c r="D135" s="16">
        <f>IF(Incidencias!M53="Cerrada",MONTH(Incidencias!O53),0)</f>
        <v>0</v>
      </c>
      <c r="E135" s="14"/>
      <c r="F135" s="9">
        <v>21</v>
      </c>
      <c r="G135" s="9">
        <f t="shared" si="2"/>
        <v>0</v>
      </c>
      <c r="H135" s="9">
        <f t="shared" si="3"/>
        <v>0</v>
      </c>
      <c r="I135" s="17">
        <f t="shared" si="4"/>
        <v>44333</v>
      </c>
      <c r="O135" s="14"/>
      <c r="P135" s="16">
        <f>Incidencias!B53</f>
        <v>0</v>
      </c>
      <c r="Q135" s="12">
        <f>IF(Incidencias!E53="MEJORA",0,WEEKNUM(Incidencias!C53))</f>
        <v>0</v>
      </c>
      <c r="R135" s="16">
        <f>WEEKNUM(Incidencias!N53)</f>
        <v>0</v>
      </c>
    </row>
    <row r="136" spans="1:18" x14ac:dyDescent="0.25">
      <c r="A136" s="16">
        <f>Incidencias!B54</f>
        <v>0</v>
      </c>
      <c r="B136" s="12">
        <f>IF(Incidencias!E54="Mejora",0,MONTH(Incidencias!C54))</f>
        <v>1</v>
      </c>
      <c r="C136" s="12">
        <f>IF(Incidencias!M54="Entregada",MONTH(Incidencias!N54),0)</f>
        <v>0</v>
      </c>
      <c r="D136" s="16">
        <f>IF(Incidencias!M54="Cerrada",MONTH(Incidencias!O54),0)</f>
        <v>0</v>
      </c>
      <c r="E136" s="14"/>
      <c r="F136" s="9">
        <v>22</v>
      </c>
      <c r="G136" s="9">
        <f t="shared" si="2"/>
        <v>0</v>
      </c>
      <c r="H136" s="9">
        <f t="shared" si="3"/>
        <v>0</v>
      </c>
      <c r="I136" s="17">
        <f t="shared" si="4"/>
        <v>44340</v>
      </c>
      <c r="O136" s="14"/>
      <c r="P136" s="16">
        <f>Incidencias!B54</f>
        <v>0</v>
      </c>
      <c r="Q136" s="12">
        <f>IF(Incidencias!E54="MEJORA",0,WEEKNUM(Incidencias!C54))</f>
        <v>0</v>
      </c>
      <c r="R136" s="16">
        <f>WEEKNUM(Incidencias!N54)</f>
        <v>0</v>
      </c>
    </row>
    <row r="137" spans="1:18" x14ac:dyDescent="0.25">
      <c r="A137" s="16">
        <f>Incidencias!B55</f>
        <v>0</v>
      </c>
      <c r="B137" s="12">
        <f>IF(Incidencias!E55="Mejora",0,MONTH(Incidencias!C55))</f>
        <v>1</v>
      </c>
      <c r="C137" s="12">
        <f>IF(Incidencias!M55="Entregada",MONTH(Incidencias!N55),0)</f>
        <v>0</v>
      </c>
      <c r="D137" s="16">
        <f>IF(Incidencias!M55="Cerrada",MONTH(Incidencias!O55),0)</f>
        <v>0</v>
      </c>
      <c r="E137" s="14"/>
      <c r="F137" s="9">
        <v>23</v>
      </c>
      <c r="G137" s="9">
        <f t="shared" si="2"/>
        <v>0</v>
      </c>
      <c r="H137" s="9">
        <f t="shared" si="3"/>
        <v>0</v>
      </c>
      <c r="I137" s="17">
        <f t="shared" si="4"/>
        <v>44347</v>
      </c>
      <c r="O137" s="14"/>
      <c r="P137" s="16">
        <f>Incidencias!B55</f>
        <v>0</v>
      </c>
      <c r="Q137" s="12">
        <f>IF(Incidencias!E55="MEJORA",0,WEEKNUM(Incidencias!C55))</f>
        <v>0</v>
      </c>
      <c r="R137" s="16">
        <f>WEEKNUM(Incidencias!N55)</f>
        <v>0</v>
      </c>
    </row>
    <row r="138" spans="1:18" x14ac:dyDescent="0.25">
      <c r="A138" s="16">
        <f>Incidencias!B56</f>
        <v>0</v>
      </c>
      <c r="B138" s="12">
        <f>IF(Incidencias!E56="Mejora",0,MONTH(Incidencias!C56))</f>
        <v>1</v>
      </c>
      <c r="C138" s="12">
        <f>IF(Incidencias!M56="Entregada",MONTH(Incidencias!N56),0)</f>
        <v>0</v>
      </c>
      <c r="D138" s="16">
        <f>IF(Incidencias!M56="Cerrada",MONTH(Incidencias!O56),0)</f>
        <v>0</v>
      </c>
      <c r="E138" s="14"/>
      <c r="F138" s="9">
        <v>24</v>
      </c>
      <c r="G138" s="9">
        <f t="shared" si="2"/>
        <v>0</v>
      </c>
      <c r="H138" s="9">
        <f t="shared" si="3"/>
        <v>0</v>
      </c>
      <c r="I138" s="17">
        <f t="shared" si="4"/>
        <v>44354</v>
      </c>
      <c r="O138" s="14"/>
      <c r="P138" s="16">
        <f>Incidencias!B56</f>
        <v>0</v>
      </c>
      <c r="Q138" s="12">
        <f>IF(Incidencias!E56="MEJORA",0,WEEKNUM(Incidencias!C56))</f>
        <v>0</v>
      </c>
      <c r="R138" s="16">
        <f>WEEKNUM(Incidencias!N56)</f>
        <v>0</v>
      </c>
    </row>
    <row r="139" spans="1:18" x14ac:dyDescent="0.25">
      <c r="A139" s="16">
        <f>Incidencias!B57</f>
        <v>0</v>
      </c>
      <c r="B139" s="12">
        <f>IF(Incidencias!E57="Mejora",0,MONTH(Incidencias!C57))</f>
        <v>1</v>
      </c>
      <c r="C139" s="12">
        <f>IF(Incidencias!M57="Entregada",MONTH(Incidencias!N57),0)</f>
        <v>0</v>
      </c>
      <c r="D139" s="16">
        <f>IF(Incidencias!M57="Cerrada",MONTH(Incidencias!O57),0)</f>
        <v>0</v>
      </c>
      <c r="E139" s="14"/>
      <c r="F139" s="9">
        <v>25</v>
      </c>
      <c r="G139" s="9">
        <f t="shared" si="2"/>
        <v>0</v>
      </c>
      <c r="H139" s="9">
        <f t="shared" si="3"/>
        <v>0</v>
      </c>
      <c r="I139" s="17">
        <f t="shared" si="4"/>
        <v>44361</v>
      </c>
      <c r="O139" s="14"/>
      <c r="P139" s="16">
        <f>Incidencias!B57</f>
        <v>0</v>
      </c>
      <c r="Q139" s="12">
        <f>IF(Incidencias!E57="MEJORA",0,WEEKNUM(Incidencias!C57))</f>
        <v>0</v>
      </c>
      <c r="R139" s="16">
        <f>WEEKNUM(Incidencias!N57)</f>
        <v>0</v>
      </c>
    </row>
    <row r="140" spans="1:18" x14ac:dyDescent="0.25">
      <c r="A140" s="16">
        <f>Incidencias!B58</f>
        <v>0</v>
      </c>
      <c r="B140" s="12">
        <f>IF(Incidencias!E58="Mejora",0,MONTH(Incidencias!C58))</f>
        <v>1</v>
      </c>
      <c r="C140" s="12">
        <f>IF(Incidencias!M58="Entregada",MONTH(Incidencias!N58),0)</f>
        <v>0</v>
      </c>
      <c r="D140" s="16">
        <f>IF(Incidencias!M58="Cerrada",MONTH(Incidencias!O58),0)</f>
        <v>0</v>
      </c>
      <c r="E140" s="14"/>
      <c r="F140" s="9">
        <v>26</v>
      </c>
      <c r="G140" s="9">
        <f t="shared" si="2"/>
        <v>0</v>
      </c>
      <c r="H140" s="9">
        <f t="shared" si="3"/>
        <v>0</v>
      </c>
      <c r="I140" s="17">
        <f t="shared" si="4"/>
        <v>44368</v>
      </c>
      <c r="O140" s="14"/>
      <c r="P140" s="16">
        <f>Incidencias!B58</f>
        <v>0</v>
      </c>
      <c r="Q140" s="12">
        <f>IF(Incidencias!E58="MEJORA",0,WEEKNUM(Incidencias!C58))</f>
        <v>0</v>
      </c>
      <c r="R140" s="16">
        <f>WEEKNUM(Incidencias!N58)</f>
        <v>0</v>
      </c>
    </row>
    <row r="141" spans="1:18" x14ac:dyDescent="0.25">
      <c r="A141" s="16">
        <f>Incidencias!B59</f>
        <v>0</v>
      </c>
      <c r="B141" s="12">
        <f>IF(Incidencias!E59="Mejora",0,MONTH(Incidencias!C59))</f>
        <v>1</v>
      </c>
      <c r="C141" s="12">
        <f>IF(Incidencias!M59="Entregada",MONTH(Incidencias!N59),0)</f>
        <v>0</v>
      </c>
      <c r="D141" s="16">
        <f>IF(Incidencias!M59="Cerrada",MONTH(Incidencias!O59),0)</f>
        <v>0</v>
      </c>
      <c r="E141" s="14"/>
      <c r="F141" s="9">
        <v>27</v>
      </c>
      <c r="G141" s="9">
        <f t="shared" si="2"/>
        <v>0</v>
      </c>
      <c r="H141" s="9">
        <f t="shared" si="3"/>
        <v>0</v>
      </c>
      <c r="I141" s="17">
        <f t="shared" si="4"/>
        <v>44375</v>
      </c>
      <c r="O141" s="14"/>
      <c r="P141" s="16">
        <f>Incidencias!B59</f>
        <v>0</v>
      </c>
      <c r="Q141" s="12">
        <f>IF(Incidencias!E59="MEJORA",0,WEEKNUM(Incidencias!C59))</f>
        <v>0</v>
      </c>
      <c r="R141" s="16">
        <f>WEEKNUM(Incidencias!N59)</f>
        <v>0</v>
      </c>
    </row>
    <row r="142" spans="1:18" x14ac:dyDescent="0.25">
      <c r="A142" s="16">
        <f>Incidencias!B60</f>
        <v>0</v>
      </c>
      <c r="B142" s="12">
        <f>IF(Incidencias!E60="Mejora",0,MONTH(Incidencias!C60))</f>
        <v>1</v>
      </c>
      <c r="C142" s="12">
        <f>IF(Incidencias!M60="Entregada",MONTH(Incidencias!N60),0)</f>
        <v>0</v>
      </c>
      <c r="D142" s="16">
        <f>IF(Incidencias!M60="Cerrada",MONTH(Incidencias!O60),0)</f>
        <v>0</v>
      </c>
      <c r="E142" s="14"/>
      <c r="F142" s="9">
        <v>28</v>
      </c>
      <c r="G142" s="9">
        <f t="shared" si="2"/>
        <v>0</v>
      </c>
      <c r="H142" s="9">
        <f t="shared" si="3"/>
        <v>0</v>
      </c>
      <c r="I142" s="17">
        <f t="shared" si="4"/>
        <v>44382</v>
      </c>
      <c r="O142" s="14"/>
      <c r="P142" s="16">
        <f>Incidencias!B60</f>
        <v>0</v>
      </c>
      <c r="Q142" s="12">
        <f>IF(Incidencias!E60="MEJORA",0,WEEKNUM(Incidencias!C60))</f>
        <v>0</v>
      </c>
      <c r="R142" s="16">
        <f>WEEKNUM(Incidencias!N60)</f>
        <v>0</v>
      </c>
    </row>
    <row r="143" spans="1:18" x14ac:dyDescent="0.25">
      <c r="A143" s="16">
        <f>Incidencias!B61</f>
        <v>0</v>
      </c>
      <c r="B143" s="12">
        <f>IF(Incidencias!E61="Mejora",0,MONTH(Incidencias!C61))</f>
        <v>1</v>
      </c>
      <c r="C143" s="12">
        <f>IF(Incidencias!M61="Entregada",MONTH(Incidencias!N61),0)</f>
        <v>0</v>
      </c>
      <c r="D143" s="16">
        <f>IF(Incidencias!M61="Cerrada",MONTH(Incidencias!O61),0)</f>
        <v>0</v>
      </c>
      <c r="E143" s="14"/>
      <c r="F143" s="9">
        <v>29</v>
      </c>
      <c r="G143" s="9">
        <f t="shared" si="2"/>
        <v>0</v>
      </c>
      <c r="H143" s="9">
        <f t="shared" si="3"/>
        <v>0</v>
      </c>
      <c r="I143" s="17">
        <f t="shared" si="4"/>
        <v>44389</v>
      </c>
      <c r="O143" s="14"/>
      <c r="P143" s="16">
        <f>Incidencias!B61</f>
        <v>0</v>
      </c>
      <c r="Q143" s="12">
        <f>IF(Incidencias!E61="MEJORA",0,WEEKNUM(Incidencias!C61))</f>
        <v>0</v>
      </c>
      <c r="R143" s="16">
        <f>WEEKNUM(Incidencias!N61)</f>
        <v>0</v>
      </c>
    </row>
    <row r="144" spans="1:18" x14ac:dyDescent="0.25">
      <c r="A144" s="16">
        <f>Incidencias!B62</f>
        <v>0</v>
      </c>
      <c r="B144" s="12">
        <f>IF(Incidencias!E62="Mejora",0,MONTH(Incidencias!C62))</f>
        <v>1</v>
      </c>
      <c r="C144" s="12">
        <f>IF(Incidencias!M62="Entregada",MONTH(Incidencias!N62),0)</f>
        <v>0</v>
      </c>
      <c r="D144" s="16">
        <f>IF(Incidencias!M62="Cerrada",MONTH(Incidencias!O62),0)</f>
        <v>0</v>
      </c>
      <c r="E144" s="14"/>
      <c r="F144" s="9">
        <v>30</v>
      </c>
      <c r="G144" s="9">
        <f t="shared" si="2"/>
        <v>0</v>
      </c>
      <c r="H144" s="9">
        <f t="shared" si="3"/>
        <v>0</v>
      </c>
      <c r="I144" s="17">
        <f t="shared" si="4"/>
        <v>44396</v>
      </c>
      <c r="O144" s="14"/>
      <c r="P144" s="16">
        <f>Incidencias!B62</f>
        <v>0</v>
      </c>
      <c r="Q144" s="12">
        <f>IF(Incidencias!E62="MEJORA",0,WEEKNUM(Incidencias!C62))</f>
        <v>0</v>
      </c>
      <c r="R144" s="16">
        <f>WEEKNUM(Incidencias!N62)</f>
        <v>0</v>
      </c>
    </row>
    <row r="145" spans="1:18" x14ac:dyDescent="0.25">
      <c r="A145" s="16">
        <f>Incidencias!B63</f>
        <v>0</v>
      </c>
      <c r="B145" s="12">
        <f>IF(Incidencias!E63="Mejora",0,MONTH(Incidencias!C63))</f>
        <v>1</v>
      </c>
      <c r="C145" s="12">
        <f>IF(Incidencias!M63="Entregada",MONTH(Incidencias!N63),0)</f>
        <v>0</v>
      </c>
      <c r="D145" s="16">
        <f>IF(Incidencias!M63="Cerrada",MONTH(Incidencias!O63),0)</f>
        <v>0</v>
      </c>
      <c r="E145" s="14"/>
      <c r="F145" s="9">
        <v>31</v>
      </c>
      <c r="G145" s="9">
        <f t="shared" si="2"/>
        <v>0</v>
      </c>
      <c r="H145" s="9">
        <f t="shared" si="3"/>
        <v>0</v>
      </c>
      <c r="I145" s="17">
        <f t="shared" si="4"/>
        <v>44403</v>
      </c>
      <c r="O145" s="14"/>
      <c r="P145" s="16">
        <f>Incidencias!B63</f>
        <v>0</v>
      </c>
      <c r="Q145" s="12">
        <f>IF(Incidencias!E63="MEJORA",0,WEEKNUM(Incidencias!C63))</f>
        <v>0</v>
      </c>
      <c r="R145" s="16">
        <f>WEEKNUM(Incidencias!N63)</f>
        <v>0</v>
      </c>
    </row>
    <row r="146" spans="1:18" x14ac:dyDescent="0.25">
      <c r="A146" s="16">
        <f>Incidencias!B65</f>
        <v>0</v>
      </c>
      <c r="B146" s="12">
        <f>IF(Incidencias!E65="Mejora",0,MONTH(Incidencias!C65))</f>
        <v>1</v>
      </c>
      <c r="C146" s="12">
        <f>IF(Incidencias!M65="Entregada",MONTH(Incidencias!N65),0)</f>
        <v>0</v>
      </c>
      <c r="D146" s="16">
        <f>IF(Incidencias!M65="Cerrada",MONTH(Incidencias!O65),0)</f>
        <v>0</v>
      </c>
      <c r="E146" s="14"/>
      <c r="F146" s="9">
        <v>32</v>
      </c>
      <c r="G146" s="9">
        <f t="shared" si="2"/>
        <v>0</v>
      </c>
      <c r="H146" s="9">
        <f t="shared" si="3"/>
        <v>0</v>
      </c>
      <c r="I146" s="17">
        <f t="shared" si="4"/>
        <v>44410</v>
      </c>
      <c r="O146" s="14"/>
      <c r="P146" s="16">
        <f>Incidencias!B65</f>
        <v>0</v>
      </c>
      <c r="Q146" s="12">
        <f>IF(Incidencias!E65="MEJORA",0,WEEKNUM(Incidencias!C65))</f>
        <v>0</v>
      </c>
      <c r="R146" s="16">
        <f>WEEKNUM(Incidencias!N65)</f>
        <v>0</v>
      </c>
    </row>
    <row r="147" spans="1:18" x14ac:dyDescent="0.25">
      <c r="A147" s="16">
        <f>Incidencias!B66</f>
        <v>0</v>
      </c>
      <c r="B147" s="12">
        <f>IF(Incidencias!E66="Mejora",0,MONTH(Incidencias!C66))</f>
        <v>1</v>
      </c>
      <c r="C147" s="12">
        <f>IF(Incidencias!M66="Entregada",MONTH(Incidencias!N66),0)</f>
        <v>0</v>
      </c>
      <c r="D147" s="16">
        <f>IF(Incidencias!M66="Cerrada",MONTH(Incidencias!O66),0)</f>
        <v>0</v>
      </c>
      <c r="E147" s="14"/>
      <c r="F147" s="9">
        <v>33</v>
      </c>
      <c r="G147" s="9">
        <f t="shared" si="2"/>
        <v>0</v>
      </c>
      <c r="H147" s="9">
        <f t="shared" si="3"/>
        <v>0</v>
      </c>
      <c r="I147" s="17">
        <f t="shared" si="4"/>
        <v>44417</v>
      </c>
      <c r="O147" s="14"/>
      <c r="P147" s="16">
        <f>Incidencias!B66</f>
        <v>0</v>
      </c>
      <c r="Q147" s="12">
        <f>IF(Incidencias!E66="MEJORA",0,WEEKNUM(Incidencias!C66))</f>
        <v>0</v>
      </c>
      <c r="R147" s="16">
        <f>WEEKNUM(Incidencias!N66)</f>
        <v>0</v>
      </c>
    </row>
    <row r="148" spans="1:18" x14ac:dyDescent="0.25">
      <c r="A148" s="16">
        <f>Incidencias!B67</f>
        <v>0</v>
      </c>
      <c r="B148" s="12">
        <f>IF(Incidencias!E67="Mejora",0,MONTH(Incidencias!C67))</f>
        <v>1</v>
      </c>
      <c r="C148" s="12">
        <f>IF(Incidencias!M67="Entregada",MONTH(Incidencias!N67),0)</f>
        <v>0</v>
      </c>
      <c r="D148" s="16">
        <f>IF(Incidencias!M67="Cerrada",MONTH(Incidencias!O67),0)</f>
        <v>0</v>
      </c>
      <c r="E148" s="14"/>
      <c r="F148" s="9">
        <v>34</v>
      </c>
      <c r="G148" s="9">
        <f t="shared" si="2"/>
        <v>0</v>
      </c>
      <c r="H148" s="9">
        <f t="shared" si="3"/>
        <v>0</v>
      </c>
      <c r="I148" s="17">
        <f t="shared" si="4"/>
        <v>44424</v>
      </c>
      <c r="O148" s="14"/>
      <c r="P148" s="16">
        <f>Incidencias!B67</f>
        <v>0</v>
      </c>
      <c r="Q148" s="12">
        <f>IF(Incidencias!E67="MEJORA",0,WEEKNUM(Incidencias!C67))</f>
        <v>0</v>
      </c>
      <c r="R148" s="16">
        <f>WEEKNUM(Incidencias!N67)</f>
        <v>0</v>
      </c>
    </row>
    <row r="149" spans="1:18" x14ac:dyDescent="0.25">
      <c r="A149" s="16" t="e">
        <f>Incidencias!#REF!</f>
        <v>#REF!</v>
      </c>
      <c r="B149" s="12" t="e">
        <f>IF(Incidencias!#REF!="Mejora",0,MONTH(Incidencias!#REF!))</f>
        <v>#REF!</v>
      </c>
      <c r="C149" s="12" t="e">
        <f>IF(Incidencias!#REF!="Entregada",MONTH(Incidencias!#REF!),0)</f>
        <v>#REF!</v>
      </c>
      <c r="D149" s="16" t="e">
        <f>IF(Incidencias!#REF!="Cerrada",MONTH(Incidencias!#REF!),0)</f>
        <v>#REF!</v>
      </c>
      <c r="E149" s="14"/>
      <c r="F149" s="9">
        <v>35</v>
      </c>
      <c r="G149" s="9">
        <f t="shared" si="2"/>
        <v>0</v>
      </c>
      <c r="H149" s="9">
        <f t="shared" si="3"/>
        <v>0</v>
      </c>
      <c r="I149" s="17">
        <f t="shared" si="4"/>
        <v>44431</v>
      </c>
      <c r="O149" s="14"/>
      <c r="P149" s="16" t="e">
        <f>Incidencias!#REF!</f>
        <v>#REF!</v>
      </c>
      <c r="Q149" s="12" t="e">
        <f>IF(Incidencias!#REF!="MEJORA",0,WEEKNUM(Incidencias!#REF!))</f>
        <v>#REF!</v>
      </c>
      <c r="R149" s="16" t="e">
        <f>WEEKNUM(Incidencias!#REF!)</f>
        <v>#REF!</v>
      </c>
    </row>
    <row r="150" spans="1:18" x14ac:dyDescent="0.25">
      <c r="A150" s="16">
        <f>Incidencias!B68</f>
        <v>0</v>
      </c>
      <c r="B150" s="12">
        <f>IF(Incidencias!E68="Mejora",0,MONTH(Incidencias!C68))</f>
        <v>1</v>
      </c>
      <c r="C150" s="12">
        <f>IF(Incidencias!M68="Entregada",MONTH(Incidencias!N68),0)</f>
        <v>0</v>
      </c>
      <c r="D150" s="16">
        <f>IF(Incidencias!M68="Cerrada",MONTH(Incidencias!O68),0)</f>
        <v>0</v>
      </c>
      <c r="E150" s="14"/>
      <c r="F150" s="9">
        <v>36</v>
      </c>
      <c r="G150" s="9">
        <f>COUNTIF(Q$100:Q$420,$F150)</f>
        <v>0</v>
      </c>
      <c r="H150" s="9">
        <f>COUNTIF(R$100:R$420,$F150)</f>
        <v>0</v>
      </c>
      <c r="I150" s="17">
        <f t="shared" si="4"/>
        <v>44438</v>
      </c>
      <c r="O150" s="14"/>
      <c r="P150" s="16">
        <f>Incidencias!B68</f>
        <v>0</v>
      </c>
      <c r="Q150" s="12">
        <f>IF(Incidencias!E68="MEJORA",0,WEEKNUM(Incidencias!C68))</f>
        <v>0</v>
      </c>
      <c r="R150" s="16">
        <f>WEEKNUM(Incidencias!N68)</f>
        <v>0</v>
      </c>
    </row>
    <row r="151" spans="1:18" x14ac:dyDescent="0.25">
      <c r="A151" s="16">
        <f>Incidencias!B69</f>
        <v>0</v>
      </c>
      <c r="B151" s="12">
        <f>IF(Incidencias!E69="Mejora",0,MONTH(Incidencias!C69))</f>
        <v>1</v>
      </c>
      <c r="C151" s="12">
        <f>IF(Incidencias!M69="Entregada",MONTH(Incidencias!N69),0)</f>
        <v>0</v>
      </c>
      <c r="D151" s="16">
        <f>IF(Incidencias!M69="Cerrada",MONTH(Incidencias!O69),0)</f>
        <v>0</v>
      </c>
      <c r="E151" s="14"/>
      <c r="F151" s="9">
        <v>37</v>
      </c>
      <c r="G151" s="9">
        <f>COUNTIF(Q$100:Q$420,$F151)</f>
        <v>0</v>
      </c>
      <c r="H151" s="9">
        <f>COUNTIF(R$100:R$420,$F151)</f>
        <v>0</v>
      </c>
      <c r="I151" s="17">
        <f t="shared" si="4"/>
        <v>44445</v>
      </c>
      <c r="O151" s="14"/>
      <c r="P151" s="16">
        <f>Incidencias!B69</f>
        <v>0</v>
      </c>
      <c r="Q151" s="12">
        <f>IF(Incidencias!E69="MEJORA",0,WEEKNUM(Incidencias!C69))</f>
        <v>0</v>
      </c>
      <c r="R151" s="16">
        <f>WEEKNUM(Incidencias!N69)</f>
        <v>0</v>
      </c>
    </row>
    <row r="152" spans="1:18" x14ac:dyDescent="0.25">
      <c r="A152" s="16">
        <f>Incidencias!B70</f>
        <v>0</v>
      </c>
      <c r="B152" s="12">
        <f>IF(Incidencias!E70="Mejora",0,MONTH(Incidencias!C70))</f>
        <v>1</v>
      </c>
      <c r="C152" s="12">
        <f>IF(Incidencias!M70="Entregada",MONTH(Incidencias!N70),0)</f>
        <v>0</v>
      </c>
      <c r="D152" s="16">
        <f>IF(Incidencias!M70="Cerrada",MONTH(Incidencias!O70),0)</f>
        <v>0</v>
      </c>
      <c r="E152" s="14"/>
      <c r="O152" s="14"/>
      <c r="P152" s="16">
        <f>Incidencias!B70</f>
        <v>0</v>
      </c>
      <c r="Q152" s="12">
        <f>IF(Incidencias!E70="MEJORA",0,WEEKNUM(Incidencias!C70))</f>
        <v>0</v>
      </c>
      <c r="R152" s="16">
        <f>WEEKNUM(Incidencias!N70)</f>
        <v>0</v>
      </c>
    </row>
    <row r="153" spans="1:18" x14ac:dyDescent="0.25">
      <c r="A153" s="16">
        <f>Incidencias!B71</f>
        <v>0</v>
      </c>
      <c r="B153" s="12">
        <f>IF(Incidencias!E71="Mejora",0,MONTH(Incidencias!C71))</f>
        <v>1</v>
      </c>
      <c r="C153" s="12">
        <f>IF(Incidencias!M71="Entregada",MONTH(Incidencias!N71),0)</f>
        <v>0</v>
      </c>
      <c r="D153" s="16">
        <f>IF(Incidencias!M71="Cerrada",MONTH(Incidencias!O71),0)</f>
        <v>0</v>
      </c>
      <c r="E153" s="14"/>
      <c r="O153" s="14"/>
      <c r="P153" s="16">
        <f>Incidencias!B71</f>
        <v>0</v>
      </c>
      <c r="Q153" s="12">
        <f>IF(Incidencias!E71="MEJORA",0,WEEKNUM(Incidencias!C71))</f>
        <v>0</v>
      </c>
      <c r="R153" s="16">
        <f>WEEKNUM(Incidencias!N71)</f>
        <v>0</v>
      </c>
    </row>
    <row r="154" spans="1:18" x14ac:dyDescent="0.25">
      <c r="A154" s="16">
        <f>Incidencias!B72</f>
        <v>0</v>
      </c>
      <c r="B154" s="12">
        <f>IF(Incidencias!E72="Mejora",0,MONTH(Incidencias!C72))</f>
        <v>1</v>
      </c>
      <c r="C154" s="12">
        <f>IF(Incidencias!M72="Entregada",MONTH(Incidencias!N72),0)</f>
        <v>0</v>
      </c>
      <c r="D154" s="16">
        <f>IF(Incidencias!M72="Cerrada",MONTH(Incidencias!O72),0)</f>
        <v>0</v>
      </c>
      <c r="E154" s="14"/>
      <c r="O154" s="14"/>
      <c r="P154" s="16">
        <f>Incidencias!B72</f>
        <v>0</v>
      </c>
      <c r="Q154" s="12">
        <f>IF(Incidencias!E72="MEJORA",0,WEEKNUM(Incidencias!C72))</f>
        <v>0</v>
      </c>
      <c r="R154" s="16">
        <f>WEEKNUM(Incidencias!N72)</f>
        <v>0</v>
      </c>
    </row>
    <row r="155" spans="1:18" x14ac:dyDescent="0.25">
      <c r="A155" s="16">
        <f>Incidencias!B73</f>
        <v>0</v>
      </c>
      <c r="B155" s="12">
        <f>IF(Incidencias!E73="Mejora",0,MONTH(Incidencias!C73))</f>
        <v>1</v>
      </c>
      <c r="C155" s="12">
        <f>IF(Incidencias!M73="Entregada",MONTH(Incidencias!N73),0)</f>
        <v>0</v>
      </c>
      <c r="D155" s="16">
        <f>IF(Incidencias!M73="Cerrada",MONTH(Incidencias!O73),0)</f>
        <v>0</v>
      </c>
      <c r="E155" s="14"/>
      <c r="O155" s="14"/>
      <c r="P155" s="16">
        <f>Incidencias!B73</f>
        <v>0</v>
      </c>
      <c r="Q155" s="12">
        <f>IF(Incidencias!E73="MEJORA",0,WEEKNUM(Incidencias!C73))</f>
        <v>0</v>
      </c>
      <c r="R155" s="16">
        <f>WEEKNUM(Incidencias!N73)</f>
        <v>0</v>
      </c>
    </row>
    <row r="156" spans="1:18" x14ac:dyDescent="0.25">
      <c r="A156" s="16">
        <f>Incidencias!B74</f>
        <v>0</v>
      </c>
      <c r="B156" s="12">
        <f>IF(Incidencias!E74="Mejora",0,MONTH(Incidencias!C74))</f>
        <v>1</v>
      </c>
      <c r="C156" s="12">
        <f>IF(Incidencias!M74="Entregada",MONTH(Incidencias!N74),0)</f>
        <v>0</v>
      </c>
      <c r="D156" s="16">
        <f>IF(Incidencias!M74="Cerrada",MONTH(Incidencias!O74),0)</f>
        <v>0</v>
      </c>
      <c r="E156" s="14"/>
      <c r="O156" s="14"/>
      <c r="P156" s="16">
        <f>Incidencias!B74</f>
        <v>0</v>
      </c>
      <c r="Q156" s="12">
        <f>IF(Incidencias!E74="MEJORA",0,WEEKNUM(Incidencias!C74))</f>
        <v>0</v>
      </c>
      <c r="R156" s="16">
        <f>WEEKNUM(Incidencias!N74)</f>
        <v>0</v>
      </c>
    </row>
    <row r="157" spans="1:18" x14ac:dyDescent="0.25">
      <c r="A157" s="16">
        <f>Incidencias!B75</f>
        <v>0</v>
      </c>
      <c r="B157" s="12">
        <f>IF(Incidencias!E75="Mejora",0,MONTH(Incidencias!C75))</f>
        <v>1</v>
      </c>
      <c r="C157" s="12">
        <f>IF(Incidencias!M75="Entregada",MONTH(Incidencias!N75),0)</f>
        <v>0</v>
      </c>
      <c r="D157" s="16">
        <f>IF(Incidencias!M75="Cerrada",MONTH(Incidencias!O75),0)</f>
        <v>0</v>
      </c>
      <c r="E157" s="14"/>
      <c r="O157" s="14"/>
      <c r="P157" s="16">
        <f>Incidencias!B75</f>
        <v>0</v>
      </c>
      <c r="Q157" s="12">
        <f>IF(Incidencias!E75="MEJORA",0,WEEKNUM(Incidencias!C75))</f>
        <v>0</v>
      </c>
      <c r="R157" s="16">
        <f>WEEKNUM(Incidencias!N75)</f>
        <v>0</v>
      </c>
    </row>
    <row r="158" spans="1:18" x14ac:dyDescent="0.25">
      <c r="A158" s="16">
        <f>Incidencias!B76</f>
        <v>0</v>
      </c>
      <c r="B158" s="12">
        <f>IF(Incidencias!E76="Mejora",0,MONTH(Incidencias!C76))</f>
        <v>1</v>
      </c>
      <c r="C158" s="12">
        <f>IF(Incidencias!M76="Entregada",MONTH(Incidencias!N76),0)</f>
        <v>0</v>
      </c>
      <c r="D158" s="16">
        <f>IF(Incidencias!M76="Cerrada",MONTH(Incidencias!O76),0)</f>
        <v>0</v>
      </c>
      <c r="E158" s="14"/>
      <c r="O158" s="14"/>
      <c r="P158" s="16">
        <f>Incidencias!B76</f>
        <v>0</v>
      </c>
      <c r="Q158" s="12">
        <f>IF(Incidencias!E76="MEJORA",0,WEEKNUM(Incidencias!C76))</f>
        <v>0</v>
      </c>
      <c r="R158" s="16">
        <f>WEEKNUM(Incidencias!N76)</f>
        <v>0</v>
      </c>
    </row>
    <row r="159" spans="1:18" x14ac:dyDescent="0.25">
      <c r="A159" s="16">
        <f>Incidencias!B77</f>
        <v>0</v>
      </c>
      <c r="B159" s="12">
        <f>IF(Incidencias!E77="Mejora",0,MONTH(Incidencias!C77))</f>
        <v>1</v>
      </c>
      <c r="C159" s="12">
        <f>IF(Incidencias!M77="Entregada",MONTH(Incidencias!N77),0)</f>
        <v>0</v>
      </c>
      <c r="D159" s="16">
        <f>IF(Incidencias!M77="Cerrada",MONTH(Incidencias!O77),0)</f>
        <v>0</v>
      </c>
      <c r="E159" s="14"/>
      <c r="O159" s="14"/>
      <c r="P159" s="16">
        <f>Incidencias!B77</f>
        <v>0</v>
      </c>
      <c r="Q159" s="12">
        <f>IF(Incidencias!E77="MEJORA",0,WEEKNUM(Incidencias!C77))</f>
        <v>0</v>
      </c>
      <c r="R159" s="16">
        <f>WEEKNUM(Incidencias!N77)</f>
        <v>0</v>
      </c>
    </row>
    <row r="160" spans="1:18" x14ac:dyDescent="0.25">
      <c r="A160" s="16">
        <f>Incidencias!B78</f>
        <v>0</v>
      </c>
      <c r="B160" s="12">
        <f>IF(Incidencias!E78="Mejora",0,MONTH(Incidencias!C78))</f>
        <v>1</v>
      </c>
      <c r="C160" s="12">
        <f>IF(Incidencias!M78="Entregada",MONTH(Incidencias!N78),0)</f>
        <v>0</v>
      </c>
      <c r="D160" s="16">
        <f>IF(Incidencias!M78="Cerrada",MONTH(Incidencias!O78),0)</f>
        <v>0</v>
      </c>
      <c r="E160" s="14"/>
      <c r="O160" s="14"/>
      <c r="P160" s="16">
        <f>Incidencias!B78</f>
        <v>0</v>
      </c>
      <c r="Q160" s="12">
        <f>IF(Incidencias!E78="MEJORA",0,WEEKNUM(Incidencias!C78))</f>
        <v>0</v>
      </c>
      <c r="R160" s="16">
        <f>WEEKNUM(Incidencias!N78)</f>
        <v>0</v>
      </c>
    </row>
    <row r="161" spans="1:18" x14ac:dyDescent="0.25">
      <c r="A161" s="16">
        <f>Incidencias!B79</f>
        <v>0</v>
      </c>
      <c r="B161" s="12">
        <f>IF(Incidencias!E79="Mejora",0,MONTH(Incidencias!C79))</f>
        <v>1</v>
      </c>
      <c r="C161" s="12">
        <f>IF(Incidencias!M79="Entregada",MONTH(Incidencias!N79),0)</f>
        <v>0</v>
      </c>
      <c r="D161" s="16">
        <f>IF(Incidencias!M79="Cerrada",MONTH(Incidencias!O79),0)</f>
        <v>0</v>
      </c>
      <c r="E161" s="14"/>
      <c r="O161" s="14"/>
      <c r="P161" s="16">
        <f>Incidencias!B79</f>
        <v>0</v>
      </c>
      <c r="Q161" s="12">
        <f>IF(Incidencias!E79="MEJORA",0,WEEKNUM(Incidencias!C79))</f>
        <v>0</v>
      </c>
      <c r="R161" s="16">
        <f>WEEKNUM(Incidencias!N79)</f>
        <v>0</v>
      </c>
    </row>
    <row r="162" spans="1:18" x14ac:dyDescent="0.25">
      <c r="A162" s="16">
        <f>Incidencias!B80</f>
        <v>0</v>
      </c>
      <c r="B162" s="12">
        <f>IF(Incidencias!E80="Mejora",0,MONTH(Incidencias!C80))</f>
        <v>1</v>
      </c>
      <c r="C162" s="12">
        <f>IF(Incidencias!M80="Entregada",MONTH(Incidencias!N80),0)</f>
        <v>0</v>
      </c>
      <c r="D162" s="16">
        <f>IF(Incidencias!M80="Cerrada",MONTH(Incidencias!O80),0)</f>
        <v>0</v>
      </c>
      <c r="E162" s="14"/>
      <c r="O162" s="14"/>
      <c r="P162" s="16">
        <f>Incidencias!B80</f>
        <v>0</v>
      </c>
      <c r="Q162" s="12">
        <f>IF(Incidencias!E80="MEJORA",0,WEEKNUM(Incidencias!C80))</f>
        <v>0</v>
      </c>
      <c r="R162" s="16">
        <f>WEEKNUM(Incidencias!N80)</f>
        <v>0</v>
      </c>
    </row>
    <row r="163" spans="1:18" x14ac:dyDescent="0.25">
      <c r="A163" s="16">
        <f>Incidencias!B81</f>
        <v>0</v>
      </c>
      <c r="B163" s="12">
        <f>IF(Incidencias!E81="Mejora",0,MONTH(Incidencias!C81))</f>
        <v>1</v>
      </c>
      <c r="C163" s="12">
        <f>IF(Incidencias!M81="Entregada",MONTH(Incidencias!N81),0)</f>
        <v>0</v>
      </c>
      <c r="D163" s="16">
        <f>IF(Incidencias!M81="Cerrada",MONTH(Incidencias!O81),0)</f>
        <v>0</v>
      </c>
      <c r="E163" s="14"/>
      <c r="O163" s="14"/>
      <c r="P163" s="16">
        <f>Incidencias!B81</f>
        <v>0</v>
      </c>
      <c r="Q163" s="12">
        <f>IF(Incidencias!E81="MEJORA",0,WEEKNUM(Incidencias!C81))</f>
        <v>0</v>
      </c>
      <c r="R163" s="16">
        <f>WEEKNUM(Incidencias!N81)</f>
        <v>0</v>
      </c>
    </row>
    <row r="164" spans="1:18" x14ac:dyDescent="0.25">
      <c r="A164" s="16">
        <f>Incidencias!B82</f>
        <v>0</v>
      </c>
      <c r="B164" s="12">
        <f>IF(Incidencias!E82="Mejora",0,MONTH(Incidencias!C82))</f>
        <v>1</v>
      </c>
      <c r="C164" s="12">
        <f>IF(Incidencias!M82="Entregada",MONTH(Incidencias!N82),0)</f>
        <v>0</v>
      </c>
      <c r="D164" s="16">
        <f>IF(Incidencias!M82="Cerrada",MONTH(Incidencias!O82),0)</f>
        <v>0</v>
      </c>
      <c r="E164" s="14"/>
      <c r="O164" s="14"/>
      <c r="P164" s="16">
        <f>Incidencias!B82</f>
        <v>0</v>
      </c>
      <c r="Q164" s="12">
        <f>IF(Incidencias!E82="MEJORA",0,WEEKNUM(Incidencias!C82))</f>
        <v>0</v>
      </c>
      <c r="R164" s="16">
        <f>WEEKNUM(Incidencias!N82)</f>
        <v>0</v>
      </c>
    </row>
    <row r="165" spans="1:18" x14ac:dyDescent="0.25">
      <c r="A165" s="16">
        <f>Incidencias!B83</f>
        <v>0</v>
      </c>
      <c r="B165" s="12">
        <f>IF(Incidencias!E83="Mejora",0,MONTH(Incidencias!C83))</f>
        <v>1</v>
      </c>
      <c r="C165" s="12">
        <f>IF(Incidencias!M83="Entregada",MONTH(Incidencias!N83),0)</f>
        <v>0</v>
      </c>
      <c r="D165" s="16">
        <f>IF(Incidencias!M83="Cerrada",MONTH(Incidencias!O83),0)</f>
        <v>0</v>
      </c>
      <c r="E165" s="14"/>
      <c r="O165" s="14"/>
      <c r="P165" s="16">
        <f>Incidencias!B83</f>
        <v>0</v>
      </c>
      <c r="Q165" s="12">
        <f>IF(Incidencias!E83="MEJORA",0,WEEKNUM(Incidencias!C83))</f>
        <v>0</v>
      </c>
      <c r="R165" s="16">
        <f>WEEKNUM(Incidencias!N83)</f>
        <v>0</v>
      </c>
    </row>
    <row r="166" spans="1:18" x14ac:dyDescent="0.25">
      <c r="A166" s="16">
        <f>Incidencias!B89</f>
        <v>0</v>
      </c>
      <c r="B166" s="12">
        <f>IF(Incidencias!E89="Mejora",0,MONTH(Incidencias!C89))</f>
        <v>1</v>
      </c>
      <c r="C166" s="12">
        <f>IF(Incidencias!M89="Entregada",MONTH(Incidencias!N89),0)</f>
        <v>0</v>
      </c>
      <c r="D166" s="16">
        <f>IF(Incidencias!M89="Cerrada",MONTH(Incidencias!O89),0)</f>
        <v>0</v>
      </c>
      <c r="E166" s="14"/>
      <c r="O166" s="14"/>
      <c r="P166" s="16">
        <f>Incidencias!B89</f>
        <v>0</v>
      </c>
      <c r="Q166" s="12">
        <f>IF(Incidencias!E89="MEJORA",0,WEEKNUM(Incidencias!C89))</f>
        <v>0</v>
      </c>
      <c r="R166" s="16">
        <f>WEEKNUM(Incidencias!N89)</f>
        <v>0</v>
      </c>
    </row>
    <row r="167" spans="1:18" x14ac:dyDescent="0.25">
      <c r="A167" s="16">
        <f>Incidencias!B90</f>
        <v>0</v>
      </c>
      <c r="B167" s="12">
        <f>IF(Incidencias!E90="Mejora",0,MONTH(Incidencias!C90))</f>
        <v>1</v>
      </c>
      <c r="C167" s="12">
        <f>IF(Incidencias!M90="Entregada",MONTH(Incidencias!N90),0)</f>
        <v>0</v>
      </c>
      <c r="D167" s="16">
        <f>IF(Incidencias!M90="Cerrada",MONTH(Incidencias!O90),0)</f>
        <v>0</v>
      </c>
      <c r="E167" s="14"/>
      <c r="O167" s="14"/>
      <c r="P167" s="16">
        <f>Incidencias!B90</f>
        <v>0</v>
      </c>
      <c r="Q167" s="12">
        <f>IF(Incidencias!E90="MEJORA",0,WEEKNUM(Incidencias!C90))</f>
        <v>0</v>
      </c>
      <c r="R167" s="16">
        <f>WEEKNUM(Incidencias!N90)</f>
        <v>0</v>
      </c>
    </row>
    <row r="168" spans="1:18" x14ac:dyDescent="0.25">
      <c r="A168" s="16">
        <f>Incidencias!B91</f>
        <v>0</v>
      </c>
      <c r="B168" s="12">
        <f>IF(Incidencias!E91="Mejora",0,MONTH(Incidencias!C91))</f>
        <v>1</v>
      </c>
      <c r="C168" s="12">
        <f>IF(Incidencias!M91="Entregada",MONTH(Incidencias!N91),0)</f>
        <v>0</v>
      </c>
      <c r="D168" s="16">
        <f>IF(Incidencias!M91="Cerrada",MONTH(Incidencias!O91),0)</f>
        <v>0</v>
      </c>
      <c r="E168" s="14"/>
      <c r="O168" s="14"/>
      <c r="P168" s="16">
        <f>Incidencias!B91</f>
        <v>0</v>
      </c>
      <c r="Q168" s="12">
        <f>IF(Incidencias!E91="MEJORA",0,WEEKNUM(Incidencias!C91))</f>
        <v>0</v>
      </c>
      <c r="R168" s="16">
        <f>WEEKNUM(Incidencias!N91)</f>
        <v>0</v>
      </c>
    </row>
    <row r="169" spans="1:18" x14ac:dyDescent="0.25">
      <c r="A169" s="16">
        <f>Incidencias!B92</f>
        <v>0</v>
      </c>
      <c r="B169" s="12">
        <f>IF(Incidencias!E92="Mejora",0,MONTH(Incidencias!C92))</f>
        <v>1</v>
      </c>
      <c r="C169" s="12">
        <f>IF(Incidencias!M92="Entregada",MONTH(Incidencias!N92),0)</f>
        <v>0</v>
      </c>
      <c r="D169" s="16">
        <f>IF(Incidencias!M92="Cerrada",MONTH(Incidencias!O92),0)</f>
        <v>0</v>
      </c>
      <c r="E169" s="14"/>
      <c r="O169" s="14"/>
      <c r="P169" s="16">
        <f>Incidencias!B92</f>
        <v>0</v>
      </c>
      <c r="Q169" s="12">
        <f>IF(Incidencias!E92="MEJORA",0,WEEKNUM(Incidencias!C92))</f>
        <v>0</v>
      </c>
      <c r="R169" s="16">
        <f>WEEKNUM(Incidencias!N92)</f>
        <v>0</v>
      </c>
    </row>
    <row r="170" spans="1:18" x14ac:dyDescent="0.25">
      <c r="A170" s="16">
        <f>Incidencias!B93</f>
        <v>0</v>
      </c>
      <c r="B170" s="12">
        <f>IF(Incidencias!E93="Mejora",0,MONTH(Incidencias!C93))</f>
        <v>1</v>
      </c>
      <c r="C170" s="12">
        <f>IF(Incidencias!M93="Entregada",MONTH(Incidencias!N93),0)</f>
        <v>0</v>
      </c>
      <c r="D170" s="16">
        <f>IF(Incidencias!M93="Cerrada",MONTH(Incidencias!O93),0)</f>
        <v>0</v>
      </c>
      <c r="E170" s="14"/>
      <c r="O170" s="14"/>
      <c r="P170" s="16">
        <f>Incidencias!B93</f>
        <v>0</v>
      </c>
      <c r="Q170" s="12">
        <f>IF(Incidencias!E93="MEJORA",0,WEEKNUM(Incidencias!C93))</f>
        <v>0</v>
      </c>
      <c r="R170" s="16">
        <f>WEEKNUM(Incidencias!N93)</f>
        <v>0</v>
      </c>
    </row>
    <row r="171" spans="1:18" x14ac:dyDescent="0.25">
      <c r="A171" s="16">
        <f>Incidencias!B94</f>
        <v>0</v>
      </c>
      <c r="B171" s="12">
        <f>IF(Incidencias!E94="Mejora",0,MONTH(Incidencias!C94))</f>
        <v>1</v>
      </c>
      <c r="C171" s="12">
        <f>IF(Incidencias!M94="Entregada",MONTH(Incidencias!N94),0)</f>
        <v>0</v>
      </c>
      <c r="D171" s="16">
        <f>IF(Incidencias!M94="Cerrada",MONTH(Incidencias!O94),0)</f>
        <v>0</v>
      </c>
      <c r="E171" s="14"/>
      <c r="O171" s="14"/>
      <c r="P171" s="16">
        <f>Incidencias!B94</f>
        <v>0</v>
      </c>
      <c r="Q171" s="12">
        <f>IF(Incidencias!E94="MEJORA",0,WEEKNUM(Incidencias!C94))</f>
        <v>0</v>
      </c>
      <c r="R171" s="16">
        <f>WEEKNUM(Incidencias!N94)</f>
        <v>0</v>
      </c>
    </row>
    <row r="172" spans="1:18" x14ac:dyDescent="0.25">
      <c r="A172" s="16">
        <f>Incidencias!B95</f>
        <v>0</v>
      </c>
      <c r="B172" s="12">
        <f>IF(Incidencias!E95="Mejora",0,MONTH(Incidencias!C95))</f>
        <v>1</v>
      </c>
      <c r="C172" s="12">
        <f>IF(Incidencias!M95="Entregada",MONTH(Incidencias!N95),0)</f>
        <v>0</v>
      </c>
      <c r="D172" s="16">
        <f>IF(Incidencias!M95="Cerrada",MONTH(Incidencias!O95),0)</f>
        <v>0</v>
      </c>
      <c r="E172" s="14"/>
      <c r="O172" s="14"/>
      <c r="P172" s="16">
        <f>Incidencias!B95</f>
        <v>0</v>
      </c>
      <c r="Q172" s="12">
        <f>IF(Incidencias!E95="MEJORA",0,WEEKNUM(Incidencias!C95))</f>
        <v>0</v>
      </c>
      <c r="R172" s="16">
        <f>WEEKNUM(Incidencias!N95)</f>
        <v>0</v>
      </c>
    </row>
    <row r="173" spans="1:18" x14ac:dyDescent="0.25">
      <c r="A173" s="16">
        <f>Incidencias!B96</f>
        <v>0</v>
      </c>
      <c r="B173" s="12">
        <f>IF(Incidencias!E96="Mejora",0,MONTH(Incidencias!C96))</f>
        <v>1</v>
      </c>
      <c r="C173" s="12">
        <f>IF(Incidencias!M96="Entregada",MONTH(Incidencias!N96),0)</f>
        <v>0</v>
      </c>
      <c r="D173" s="16">
        <f>IF(Incidencias!M96="Cerrada",MONTH(Incidencias!O96),0)</f>
        <v>0</v>
      </c>
      <c r="E173" s="14"/>
      <c r="O173" s="14"/>
      <c r="P173" s="16">
        <f>Incidencias!B96</f>
        <v>0</v>
      </c>
      <c r="Q173" s="12">
        <f>IF(Incidencias!E96="MEJORA",0,WEEKNUM(Incidencias!C96))</f>
        <v>0</v>
      </c>
      <c r="R173" s="16">
        <f>WEEKNUM(Incidencias!N96)</f>
        <v>0</v>
      </c>
    </row>
    <row r="174" spans="1:18" x14ac:dyDescent="0.25">
      <c r="A174" s="16">
        <f>Incidencias!B97</f>
        <v>0</v>
      </c>
      <c r="B174" s="12">
        <f>IF(Incidencias!E97="Mejora",0,MONTH(Incidencias!C97))</f>
        <v>1</v>
      </c>
      <c r="C174" s="12">
        <f>IF(Incidencias!M97="Entregada",MONTH(Incidencias!N97),0)</f>
        <v>0</v>
      </c>
      <c r="D174" s="16">
        <f>IF(Incidencias!M97="Cerrada",MONTH(Incidencias!O97),0)</f>
        <v>0</v>
      </c>
      <c r="E174" s="14"/>
      <c r="O174" s="14"/>
      <c r="P174" s="16">
        <f>Incidencias!B97</f>
        <v>0</v>
      </c>
      <c r="Q174" s="12">
        <f>IF(Incidencias!E97="MEJORA",0,WEEKNUM(Incidencias!C97))</f>
        <v>0</v>
      </c>
      <c r="R174" s="16">
        <f>WEEKNUM(Incidencias!N97)</f>
        <v>0</v>
      </c>
    </row>
    <row r="175" spans="1:18" x14ac:dyDescent="0.25">
      <c r="A175" s="16">
        <f>Incidencias!B98</f>
        <v>0</v>
      </c>
      <c r="B175" s="12">
        <f>IF(Incidencias!E98="Mejora",0,MONTH(Incidencias!C98))</f>
        <v>1</v>
      </c>
      <c r="C175" s="12">
        <f>IF(Incidencias!M98="Entregada",MONTH(Incidencias!N98),0)</f>
        <v>0</v>
      </c>
      <c r="D175" s="16">
        <f>IF(Incidencias!M98="Cerrada",MONTH(Incidencias!O98),0)</f>
        <v>0</v>
      </c>
      <c r="E175" s="14"/>
      <c r="O175" s="14"/>
      <c r="P175" s="16">
        <f>Incidencias!B98</f>
        <v>0</v>
      </c>
      <c r="Q175" s="12">
        <f>IF(Incidencias!E98="MEJORA",0,WEEKNUM(Incidencias!C98))</f>
        <v>0</v>
      </c>
      <c r="R175" s="16">
        <f>WEEKNUM(Incidencias!N98)</f>
        <v>0</v>
      </c>
    </row>
    <row r="176" spans="1:18" x14ac:dyDescent="0.25">
      <c r="A176" s="16">
        <f>Incidencias!B99</f>
        <v>0</v>
      </c>
      <c r="B176" s="12">
        <f>IF(Incidencias!E99="Mejora",0,MONTH(Incidencias!C99))</f>
        <v>1</v>
      </c>
      <c r="C176" s="12">
        <f>IF(Incidencias!M99="Entregada",MONTH(Incidencias!N99),0)</f>
        <v>0</v>
      </c>
      <c r="D176" s="16">
        <f>IF(Incidencias!M99="Cerrada",MONTH(Incidencias!O99),0)</f>
        <v>0</v>
      </c>
      <c r="E176" s="14"/>
      <c r="O176" s="14"/>
      <c r="P176" s="16">
        <f>Incidencias!B99</f>
        <v>0</v>
      </c>
      <c r="Q176" s="12">
        <f>IF(Incidencias!E99="MEJORA",0,WEEKNUM(Incidencias!C99))</f>
        <v>0</v>
      </c>
      <c r="R176" s="16">
        <f>WEEKNUM(Incidencias!N99)</f>
        <v>0</v>
      </c>
    </row>
    <row r="177" spans="1:18" x14ac:dyDescent="0.25">
      <c r="A177" s="16">
        <f>Incidencias!B100</f>
        <v>0</v>
      </c>
      <c r="B177" s="12">
        <f>IF(Incidencias!E100="Mejora",0,MONTH(Incidencias!C100))</f>
        <v>1</v>
      </c>
      <c r="C177" s="12">
        <f>IF(Incidencias!M100="Entregada",MONTH(Incidencias!N100),0)</f>
        <v>0</v>
      </c>
      <c r="D177" s="16">
        <f>IF(Incidencias!M100="Cerrada",MONTH(Incidencias!O100),0)</f>
        <v>0</v>
      </c>
      <c r="E177" s="14"/>
      <c r="O177" s="14"/>
      <c r="P177" s="16">
        <f>Incidencias!B100</f>
        <v>0</v>
      </c>
      <c r="Q177" s="12">
        <f>IF(Incidencias!E100="MEJORA",0,WEEKNUM(Incidencias!C100))</f>
        <v>0</v>
      </c>
      <c r="R177" s="16">
        <f>WEEKNUM(Incidencias!N100)</f>
        <v>0</v>
      </c>
    </row>
    <row r="178" spans="1:18" x14ac:dyDescent="0.25">
      <c r="A178" s="16">
        <f>Incidencias!B103</f>
        <v>0</v>
      </c>
      <c r="B178" s="12">
        <f>IF(Incidencias!E103="Mejora",0,MONTH(Incidencias!C103))</f>
        <v>1</v>
      </c>
      <c r="C178" s="12">
        <f>IF(Incidencias!M103="Entregada",MONTH(Incidencias!N103),0)</f>
        <v>0</v>
      </c>
      <c r="D178" s="16">
        <f>IF(Incidencias!M103="Cerrada",MONTH(Incidencias!O103),0)</f>
        <v>0</v>
      </c>
      <c r="E178" s="14"/>
      <c r="O178" s="14"/>
      <c r="P178" s="16">
        <f>Incidencias!B103</f>
        <v>0</v>
      </c>
      <c r="Q178" s="12">
        <f>IF(Incidencias!E103="MEJORA",0,WEEKNUM(Incidencias!C103))</f>
        <v>0</v>
      </c>
      <c r="R178" s="16">
        <f>WEEKNUM(Incidencias!N103)</f>
        <v>0</v>
      </c>
    </row>
    <row r="179" spans="1:18" x14ac:dyDescent="0.25">
      <c r="A179" s="16">
        <f>Incidencias!B104</f>
        <v>0</v>
      </c>
      <c r="B179" s="12">
        <f>IF(Incidencias!E104="Mejora",0,MONTH(Incidencias!C104))</f>
        <v>1</v>
      </c>
      <c r="C179" s="12">
        <f>IF(Incidencias!M104="Entregada",MONTH(Incidencias!N104),0)</f>
        <v>0</v>
      </c>
      <c r="D179" s="16">
        <f>IF(Incidencias!M104="Cerrada",MONTH(Incidencias!O104),0)</f>
        <v>0</v>
      </c>
      <c r="E179" s="14"/>
      <c r="O179" s="14"/>
      <c r="P179" s="16">
        <f>Incidencias!B104</f>
        <v>0</v>
      </c>
      <c r="Q179" s="12">
        <f>IF(Incidencias!E104="MEJORA",0,WEEKNUM(Incidencias!C104))</f>
        <v>0</v>
      </c>
      <c r="R179" s="16">
        <f>WEEKNUM(Incidencias!N104)</f>
        <v>0</v>
      </c>
    </row>
    <row r="180" spans="1:18" x14ac:dyDescent="0.25">
      <c r="A180" s="16">
        <f>Incidencias!B105</f>
        <v>0</v>
      </c>
      <c r="B180" s="12">
        <f>IF(Incidencias!E105="Mejora",0,MONTH(Incidencias!C105))</f>
        <v>1</v>
      </c>
      <c r="C180" s="12">
        <f>IF(Incidencias!M105="Entregada",MONTH(Incidencias!N105),0)</f>
        <v>0</v>
      </c>
      <c r="D180" s="16">
        <f>IF(Incidencias!M105="Cerrada",MONTH(Incidencias!O105),0)</f>
        <v>0</v>
      </c>
      <c r="E180" s="14"/>
      <c r="O180" s="14"/>
      <c r="P180" s="16">
        <f>Incidencias!B105</f>
        <v>0</v>
      </c>
      <c r="Q180" s="12">
        <f>IF(Incidencias!E105="MEJORA",0,WEEKNUM(Incidencias!C105))</f>
        <v>0</v>
      </c>
      <c r="R180" s="16">
        <f>WEEKNUM(Incidencias!N105)</f>
        <v>0</v>
      </c>
    </row>
    <row r="181" spans="1:18" x14ac:dyDescent="0.25">
      <c r="A181" s="16">
        <f>Incidencias!B106</f>
        <v>0</v>
      </c>
      <c r="B181" s="12">
        <f>IF(Incidencias!E106="Mejora",0,MONTH(Incidencias!C106))</f>
        <v>1</v>
      </c>
      <c r="C181" s="12">
        <f>IF(Incidencias!M106="Entregada",MONTH(Incidencias!N106),0)</f>
        <v>0</v>
      </c>
      <c r="D181" s="16">
        <f>IF(Incidencias!M106="Cerrada",MONTH(Incidencias!O106),0)</f>
        <v>0</v>
      </c>
      <c r="E181" s="14"/>
      <c r="O181" s="14"/>
      <c r="P181" s="16">
        <f>Incidencias!B106</f>
        <v>0</v>
      </c>
      <c r="Q181" s="12">
        <f>IF(Incidencias!E106="MEJORA",0,WEEKNUM(Incidencias!C106))</f>
        <v>0</v>
      </c>
      <c r="R181" s="16">
        <f>WEEKNUM(Incidencias!N106)</f>
        <v>0</v>
      </c>
    </row>
    <row r="182" spans="1:18" x14ac:dyDescent="0.25">
      <c r="A182" s="16">
        <f>Incidencias!B107</f>
        <v>0</v>
      </c>
      <c r="B182" s="12">
        <f>IF(Incidencias!E107="Mejora",0,MONTH(Incidencias!C107))</f>
        <v>1</v>
      </c>
      <c r="C182" s="12">
        <f>IF(Incidencias!M107="Entregada",MONTH(Incidencias!N107),0)</f>
        <v>0</v>
      </c>
      <c r="D182" s="16">
        <f>IF(Incidencias!M107="Cerrada",MONTH(Incidencias!O107),0)</f>
        <v>0</v>
      </c>
      <c r="E182" s="14"/>
      <c r="O182" s="14"/>
      <c r="P182" s="16">
        <f>Incidencias!B107</f>
        <v>0</v>
      </c>
      <c r="Q182" s="12">
        <f>IF(Incidencias!E107="MEJORA",0,WEEKNUM(Incidencias!C107))</f>
        <v>0</v>
      </c>
      <c r="R182" s="16">
        <f>WEEKNUM(Incidencias!N107)</f>
        <v>0</v>
      </c>
    </row>
    <row r="183" spans="1:18" x14ac:dyDescent="0.25">
      <c r="A183" s="16">
        <f>Incidencias!B108</f>
        <v>0</v>
      </c>
      <c r="B183" s="12">
        <f>IF(Incidencias!E108="Mejora",0,MONTH(Incidencias!C108))</f>
        <v>1</v>
      </c>
      <c r="C183" s="12">
        <f>IF(Incidencias!M108="Entregada",MONTH(Incidencias!N108),0)</f>
        <v>0</v>
      </c>
      <c r="D183" s="16">
        <f>IF(Incidencias!M108="Cerrada",MONTH(Incidencias!O108),0)</f>
        <v>0</v>
      </c>
      <c r="E183" s="14"/>
      <c r="O183" s="14"/>
      <c r="P183" s="16">
        <f>Incidencias!B108</f>
        <v>0</v>
      </c>
      <c r="Q183" s="12">
        <f>IF(Incidencias!E108="MEJORA",0,WEEKNUM(Incidencias!C108))</f>
        <v>0</v>
      </c>
      <c r="R183" s="16">
        <f>WEEKNUM(Incidencias!N108)</f>
        <v>0</v>
      </c>
    </row>
    <row r="184" spans="1:18" x14ac:dyDescent="0.25">
      <c r="A184" s="16">
        <f>Incidencias!B109</f>
        <v>0</v>
      </c>
      <c r="B184" s="12">
        <f>IF(Incidencias!E109="Mejora",0,MONTH(Incidencias!C109))</f>
        <v>1</v>
      </c>
      <c r="C184" s="12">
        <f>IF(Incidencias!M109="Entregada",MONTH(Incidencias!N109),0)</f>
        <v>0</v>
      </c>
      <c r="D184" s="16">
        <f>IF(Incidencias!M109="Cerrada",MONTH(Incidencias!O109),0)</f>
        <v>0</v>
      </c>
      <c r="E184" s="14"/>
      <c r="O184" s="14"/>
      <c r="P184" s="16">
        <f>Incidencias!B109</f>
        <v>0</v>
      </c>
      <c r="Q184" s="12">
        <f>IF(Incidencias!E109="MEJORA",0,WEEKNUM(Incidencias!C109))</f>
        <v>0</v>
      </c>
      <c r="R184" s="16">
        <f>WEEKNUM(Incidencias!N109)</f>
        <v>0</v>
      </c>
    </row>
    <row r="185" spans="1:18" x14ac:dyDescent="0.25">
      <c r="A185" s="16">
        <f>Incidencias!B110</f>
        <v>0</v>
      </c>
      <c r="B185" s="12">
        <f>IF(Incidencias!E110="Mejora",0,MONTH(Incidencias!C110))</f>
        <v>1</v>
      </c>
      <c r="C185" s="12">
        <f>IF(Incidencias!M110="Entregada",MONTH(Incidencias!N110),0)</f>
        <v>0</v>
      </c>
      <c r="D185" s="16">
        <f>IF(Incidencias!M110="Cerrada",MONTH(Incidencias!O110),0)</f>
        <v>0</v>
      </c>
      <c r="E185" s="14"/>
      <c r="O185" s="14"/>
      <c r="P185" s="16">
        <f>Incidencias!B110</f>
        <v>0</v>
      </c>
      <c r="Q185" s="12">
        <f>IF(Incidencias!E110="MEJORA",0,WEEKNUM(Incidencias!C110))</f>
        <v>0</v>
      </c>
      <c r="R185" s="16">
        <f>WEEKNUM(Incidencias!N110)</f>
        <v>0</v>
      </c>
    </row>
    <row r="186" spans="1:18" x14ac:dyDescent="0.25">
      <c r="A186" s="16">
        <f>Incidencias!B111</f>
        <v>0</v>
      </c>
      <c r="B186" s="12">
        <f>IF(Incidencias!E111="Mejora",0,MONTH(Incidencias!C111))</f>
        <v>1</v>
      </c>
      <c r="C186" s="12">
        <f>IF(Incidencias!M111="Entregada",MONTH(Incidencias!N111),0)</f>
        <v>0</v>
      </c>
      <c r="D186" s="16">
        <f>IF(Incidencias!M111="Cerrada",MONTH(Incidencias!O111),0)</f>
        <v>0</v>
      </c>
      <c r="E186" s="14"/>
      <c r="O186" s="14"/>
      <c r="P186" s="16">
        <f>Incidencias!B111</f>
        <v>0</v>
      </c>
      <c r="Q186" s="12">
        <f>IF(Incidencias!E111="MEJORA",0,WEEKNUM(Incidencias!C111))</f>
        <v>0</v>
      </c>
      <c r="R186" s="16">
        <f>WEEKNUM(Incidencias!N111)</f>
        <v>0</v>
      </c>
    </row>
    <row r="187" spans="1:18" x14ac:dyDescent="0.25">
      <c r="A187" s="16">
        <f>Incidencias!B112</f>
        <v>0</v>
      </c>
      <c r="B187" s="12">
        <f>IF(Incidencias!E112="Mejora",0,MONTH(Incidencias!C112))</f>
        <v>1</v>
      </c>
      <c r="C187" s="12">
        <f>IF(Incidencias!M112="Entregada",MONTH(Incidencias!N112),0)</f>
        <v>0</v>
      </c>
      <c r="D187" s="16">
        <f>IF(Incidencias!M112="Cerrada",MONTH(Incidencias!O112),0)</f>
        <v>0</v>
      </c>
      <c r="E187" s="14"/>
      <c r="O187" s="14"/>
      <c r="P187" s="16">
        <f>Incidencias!B112</f>
        <v>0</v>
      </c>
      <c r="Q187" s="12">
        <f>IF(Incidencias!E112="MEJORA",0,WEEKNUM(Incidencias!C112))</f>
        <v>0</v>
      </c>
      <c r="R187" s="16">
        <f>WEEKNUM(Incidencias!N112)</f>
        <v>0</v>
      </c>
    </row>
    <row r="188" spans="1:18" x14ac:dyDescent="0.25">
      <c r="A188" s="16">
        <f>Incidencias!B113</f>
        <v>0</v>
      </c>
      <c r="B188" s="12">
        <f>IF(Incidencias!E113="Mejora",0,MONTH(Incidencias!C113))</f>
        <v>1</v>
      </c>
      <c r="C188" s="12">
        <f>IF(Incidencias!M113="Entregada",MONTH(Incidencias!N113),0)</f>
        <v>0</v>
      </c>
      <c r="D188" s="16">
        <f>IF(Incidencias!M113="Cerrada",MONTH(Incidencias!O113),0)</f>
        <v>0</v>
      </c>
      <c r="E188" s="14"/>
      <c r="O188" s="14"/>
      <c r="P188" s="16">
        <f>Incidencias!B113</f>
        <v>0</v>
      </c>
      <c r="Q188" s="12">
        <f>IF(Incidencias!E113="MEJORA",0,WEEKNUM(Incidencias!C113))</f>
        <v>0</v>
      </c>
      <c r="R188" s="16">
        <f>WEEKNUM(Incidencias!N113)</f>
        <v>0</v>
      </c>
    </row>
    <row r="189" spans="1:18" x14ac:dyDescent="0.25">
      <c r="A189" s="16">
        <f>Incidencias!B114</f>
        <v>0</v>
      </c>
      <c r="B189" s="12">
        <f>IF(Incidencias!E114="Mejora",0,MONTH(Incidencias!C114))</f>
        <v>1</v>
      </c>
      <c r="C189" s="12">
        <f>IF(Incidencias!M114="Entregada",MONTH(Incidencias!N114),0)</f>
        <v>0</v>
      </c>
      <c r="D189" s="16">
        <f>IF(Incidencias!M114="Cerrada",MONTH(Incidencias!O114),0)</f>
        <v>0</v>
      </c>
      <c r="E189" s="14"/>
      <c r="O189" s="14"/>
      <c r="P189" s="16">
        <f>Incidencias!B114</f>
        <v>0</v>
      </c>
      <c r="Q189" s="12">
        <f>IF(Incidencias!E114="MEJORA",0,WEEKNUM(Incidencias!C114))</f>
        <v>0</v>
      </c>
      <c r="R189" s="16">
        <f>WEEKNUM(Incidencias!N114)</f>
        <v>0</v>
      </c>
    </row>
    <row r="190" spans="1:18" x14ac:dyDescent="0.25">
      <c r="A190" s="16">
        <f>Incidencias!B115</f>
        <v>0</v>
      </c>
      <c r="B190" s="12">
        <f>IF(Incidencias!E115="Mejora",0,MONTH(Incidencias!C115))</f>
        <v>1</v>
      </c>
      <c r="C190" s="12">
        <f>IF(Incidencias!M115="Entregada",MONTH(Incidencias!N115),0)</f>
        <v>0</v>
      </c>
      <c r="D190" s="16">
        <f>IF(Incidencias!M115="Cerrada",MONTH(Incidencias!O115),0)</f>
        <v>0</v>
      </c>
      <c r="E190" s="14"/>
      <c r="O190" s="14"/>
      <c r="P190" s="16">
        <f>Incidencias!B115</f>
        <v>0</v>
      </c>
      <c r="Q190" s="12">
        <f>IF(Incidencias!E115="MEJORA",0,WEEKNUM(Incidencias!C115))</f>
        <v>0</v>
      </c>
      <c r="R190" s="16">
        <f>WEEKNUM(Incidencias!N115)</f>
        <v>0</v>
      </c>
    </row>
    <row r="191" spans="1:18" x14ac:dyDescent="0.25">
      <c r="A191" s="16">
        <f>Incidencias!B116</f>
        <v>0</v>
      </c>
      <c r="B191" s="12">
        <f>IF(Incidencias!E116="Mejora",0,MONTH(Incidencias!C116))</f>
        <v>1</v>
      </c>
      <c r="C191" s="12">
        <f>IF(Incidencias!M116="Entregada",MONTH(Incidencias!N116),0)</f>
        <v>0</v>
      </c>
      <c r="D191" s="16">
        <f>IF(Incidencias!M116="Cerrada",MONTH(Incidencias!O116),0)</f>
        <v>0</v>
      </c>
      <c r="E191" s="14"/>
      <c r="O191" s="14"/>
      <c r="P191" s="16">
        <f>Incidencias!B116</f>
        <v>0</v>
      </c>
      <c r="Q191" s="12">
        <f>IF(Incidencias!E116="MEJORA",0,WEEKNUM(Incidencias!C116))</f>
        <v>0</v>
      </c>
      <c r="R191" s="16">
        <f>WEEKNUM(Incidencias!N116)</f>
        <v>0</v>
      </c>
    </row>
    <row r="192" spans="1:18" x14ac:dyDescent="0.25">
      <c r="A192" s="16">
        <f>Incidencias!B117</f>
        <v>0</v>
      </c>
      <c r="B192" s="12">
        <f>IF(Incidencias!E117="Mejora",0,MONTH(Incidencias!C117))</f>
        <v>1</v>
      </c>
      <c r="C192" s="12">
        <f>IF(Incidencias!M117="Entregada",MONTH(Incidencias!N117),0)</f>
        <v>0</v>
      </c>
      <c r="D192" s="16">
        <f>IF(Incidencias!M117="Cerrada",MONTH(Incidencias!O117),0)</f>
        <v>0</v>
      </c>
      <c r="E192" s="14"/>
      <c r="O192" s="14"/>
      <c r="P192" s="16">
        <f>Incidencias!B117</f>
        <v>0</v>
      </c>
      <c r="Q192" s="12">
        <f>IF(Incidencias!E117="MEJORA",0,WEEKNUM(Incidencias!C117))</f>
        <v>0</v>
      </c>
      <c r="R192" s="16">
        <f>WEEKNUM(Incidencias!N117)</f>
        <v>0</v>
      </c>
    </row>
    <row r="193" spans="1:18" x14ac:dyDescent="0.25">
      <c r="A193" s="16">
        <f>Incidencias!B118</f>
        <v>0</v>
      </c>
      <c r="B193" s="12">
        <f>IF(Incidencias!E118="Mejora",0,MONTH(Incidencias!C118))</f>
        <v>1</v>
      </c>
      <c r="C193" s="12">
        <f>IF(Incidencias!M118="Entregada",MONTH(Incidencias!N118),0)</f>
        <v>0</v>
      </c>
      <c r="D193" s="16">
        <f>IF(Incidencias!M118="Cerrada",MONTH(Incidencias!O118),0)</f>
        <v>0</v>
      </c>
      <c r="E193" s="14"/>
      <c r="O193" s="14"/>
      <c r="P193" s="16">
        <f>Incidencias!B118</f>
        <v>0</v>
      </c>
      <c r="Q193" s="12">
        <f>IF(Incidencias!E118="MEJORA",0,WEEKNUM(Incidencias!C118))</f>
        <v>0</v>
      </c>
      <c r="R193" s="16">
        <f>WEEKNUM(Incidencias!N118)</f>
        <v>0</v>
      </c>
    </row>
    <row r="194" spans="1:18" x14ac:dyDescent="0.25">
      <c r="A194" s="16">
        <f>Incidencias!B119</f>
        <v>0</v>
      </c>
      <c r="B194" s="12">
        <f>IF(Incidencias!E119="Mejora",0,MONTH(Incidencias!C119))</f>
        <v>1</v>
      </c>
      <c r="C194" s="12">
        <f>IF(Incidencias!M119="Entregada",MONTH(Incidencias!N119),0)</f>
        <v>0</v>
      </c>
      <c r="D194" s="16">
        <f>IF(Incidencias!M119="Cerrada",MONTH(Incidencias!O119),0)</f>
        <v>0</v>
      </c>
      <c r="E194" s="14"/>
      <c r="O194" s="14"/>
      <c r="P194" s="16">
        <f>Incidencias!B119</f>
        <v>0</v>
      </c>
      <c r="Q194" s="12">
        <f>IF(Incidencias!E119="MEJORA",0,WEEKNUM(Incidencias!C119))</f>
        <v>0</v>
      </c>
      <c r="R194" s="16">
        <f>WEEKNUM(Incidencias!N119)</f>
        <v>0</v>
      </c>
    </row>
    <row r="195" spans="1:18" x14ac:dyDescent="0.25">
      <c r="A195" s="16">
        <f>Incidencias!B120</f>
        <v>0</v>
      </c>
      <c r="B195" s="12">
        <f>IF(Incidencias!E120="Mejora",0,MONTH(Incidencias!C120))</f>
        <v>1</v>
      </c>
      <c r="C195" s="12">
        <f>IF(Incidencias!M120="Entregada",MONTH(Incidencias!N120),0)</f>
        <v>0</v>
      </c>
      <c r="D195" s="16">
        <f>IF(Incidencias!M120="Cerrada",MONTH(Incidencias!O120),0)</f>
        <v>0</v>
      </c>
      <c r="E195" s="14"/>
      <c r="O195" s="14"/>
      <c r="P195" s="16">
        <f>Incidencias!B120</f>
        <v>0</v>
      </c>
      <c r="Q195" s="12">
        <f>IF(Incidencias!E120="MEJORA",0,WEEKNUM(Incidencias!C120))</f>
        <v>0</v>
      </c>
      <c r="R195" s="16">
        <f>WEEKNUM(Incidencias!N120)</f>
        <v>0</v>
      </c>
    </row>
    <row r="196" spans="1:18" x14ac:dyDescent="0.25">
      <c r="A196" s="16">
        <f>Incidencias!B121</f>
        <v>0</v>
      </c>
      <c r="B196" s="12">
        <f>IF(Incidencias!E121="Mejora",0,MONTH(Incidencias!C121))</f>
        <v>1</v>
      </c>
      <c r="C196" s="12">
        <f>IF(Incidencias!M121="Entregada",MONTH(Incidencias!N121),0)</f>
        <v>0</v>
      </c>
      <c r="D196" s="16">
        <f>IF(Incidencias!M121="Cerrada",MONTH(Incidencias!O121),0)</f>
        <v>0</v>
      </c>
      <c r="E196" s="14"/>
      <c r="O196" s="14"/>
      <c r="P196" s="16">
        <f>Incidencias!B121</f>
        <v>0</v>
      </c>
      <c r="Q196" s="12">
        <f>IF(Incidencias!E121="MEJORA",0,WEEKNUM(Incidencias!C121))</f>
        <v>0</v>
      </c>
      <c r="R196" s="16">
        <f>WEEKNUM(Incidencias!N121)</f>
        <v>0</v>
      </c>
    </row>
    <row r="197" spans="1:18" x14ac:dyDescent="0.25">
      <c r="A197" s="16">
        <f>Incidencias!B122</f>
        <v>0</v>
      </c>
      <c r="B197" s="12">
        <f>IF(Incidencias!E122="Mejora",0,MONTH(Incidencias!C122))</f>
        <v>1</v>
      </c>
      <c r="C197" s="12">
        <f>IF(Incidencias!M122="Entregada",MONTH(Incidencias!N122),0)</f>
        <v>0</v>
      </c>
      <c r="D197" s="16">
        <f>IF(Incidencias!M122="Cerrada",MONTH(Incidencias!O122),0)</f>
        <v>0</v>
      </c>
      <c r="E197" s="14"/>
      <c r="O197" s="14"/>
      <c r="P197" s="16">
        <f>Incidencias!B122</f>
        <v>0</v>
      </c>
      <c r="Q197" s="12">
        <f>IF(Incidencias!E122="MEJORA",0,WEEKNUM(Incidencias!C122))</f>
        <v>0</v>
      </c>
      <c r="R197" s="16">
        <f>WEEKNUM(Incidencias!N122)</f>
        <v>0</v>
      </c>
    </row>
    <row r="198" spans="1:18" x14ac:dyDescent="0.25">
      <c r="A198" s="16">
        <f>Incidencias!B123</f>
        <v>0</v>
      </c>
      <c r="B198" s="12">
        <f>IF(Incidencias!E123="Mejora",0,MONTH(Incidencias!C123))</f>
        <v>1</v>
      </c>
      <c r="C198" s="12">
        <f>IF(Incidencias!M123="Entregada",MONTH(Incidencias!N123),0)</f>
        <v>0</v>
      </c>
      <c r="D198" s="16">
        <f>IF(Incidencias!M123="Cerrada",MONTH(Incidencias!O123),0)</f>
        <v>0</v>
      </c>
      <c r="E198" s="14"/>
      <c r="O198" s="14"/>
      <c r="P198" s="16">
        <f>Incidencias!B123</f>
        <v>0</v>
      </c>
      <c r="Q198" s="12">
        <f>IF(Incidencias!E123="MEJORA",0,WEEKNUM(Incidencias!C123))</f>
        <v>0</v>
      </c>
      <c r="R198" s="16">
        <f>WEEKNUM(Incidencias!N123)</f>
        <v>0</v>
      </c>
    </row>
    <row r="199" spans="1:18" x14ac:dyDescent="0.25">
      <c r="A199" s="16">
        <f>Incidencias!B124</f>
        <v>0</v>
      </c>
      <c r="B199" s="12">
        <f>IF(Incidencias!E124="Mejora",0,MONTH(Incidencias!C124))</f>
        <v>1</v>
      </c>
      <c r="C199" s="12">
        <f>IF(Incidencias!M124="Entregada",MONTH(Incidencias!N124),0)</f>
        <v>0</v>
      </c>
      <c r="D199" s="16">
        <f>IF(Incidencias!M124="Cerrada",MONTH(Incidencias!O124),0)</f>
        <v>0</v>
      </c>
      <c r="E199" s="14"/>
      <c r="O199" s="14"/>
      <c r="P199" s="16">
        <f>Incidencias!B124</f>
        <v>0</v>
      </c>
      <c r="Q199" s="12">
        <f>IF(Incidencias!E124="MEJORA",0,WEEKNUM(Incidencias!C124))</f>
        <v>0</v>
      </c>
      <c r="R199" s="16">
        <f>WEEKNUM(Incidencias!N124)</f>
        <v>0</v>
      </c>
    </row>
    <row r="200" spans="1:18" x14ac:dyDescent="0.25">
      <c r="A200" s="16">
        <f>Incidencias!B125</f>
        <v>0</v>
      </c>
      <c r="B200" s="12">
        <f>IF(Incidencias!E125="Mejora",0,MONTH(Incidencias!C125))</f>
        <v>1</v>
      </c>
      <c r="C200" s="12">
        <f>IF(Incidencias!M125="Entregada",MONTH(Incidencias!N125),0)</f>
        <v>0</v>
      </c>
      <c r="D200" s="16">
        <f>IF(Incidencias!M125="Cerrada",MONTH(Incidencias!O125),0)</f>
        <v>0</v>
      </c>
      <c r="E200" s="14"/>
      <c r="O200" s="14"/>
      <c r="P200" s="16">
        <f>Incidencias!B125</f>
        <v>0</v>
      </c>
      <c r="Q200" s="12">
        <f>IF(Incidencias!E125="MEJORA",0,WEEKNUM(Incidencias!C125))</f>
        <v>0</v>
      </c>
      <c r="R200" s="16">
        <f>WEEKNUM(Incidencias!N125)</f>
        <v>0</v>
      </c>
    </row>
    <row r="201" spans="1:18" x14ac:dyDescent="0.25">
      <c r="A201" s="16">
        <f>Incidencias!B126</f>
        <v>0</v>
      </c>
      <c r="B201" s="12">
        <f>IF(Incidencias!E126="Mejora",0,MONTH(Incidencias!C126))</f>
        <v>1</v>
      </c>
      <c r="C201" s="12">
        <f>IF(Incidencias!M126="Entregada",MONTH(Incidencias!N126),0)</f>
        <v>0</v>
      </c>
      <c r="D201" s="16">
        <f>IF(Incidencias!M126="Cerrada",MONTH(Incidencias!O126),0)</f>
        <v>0</v>
      </c>
      <c r="E201" s="14"/>
      <c r="O201" s="14"/>
      <c r="P201" s="16">
        <f>Incidencias!B126</f>
        <v>0</v>
      </c>
      <c r="Q201" s="12">
        <f>IF(Incidencias!E126="MEJORA",0,WEEKNUM(Incidencias!C126))</f>
        <v>0</v>
      </c>
      <c r="R201" s="16">
        <f>WEEKNUM(Incidencias!N126)</f>
        <v>0</v>
      </c>
    </row>
    <row r="202" spans="1:18" x14ac:dyDescent="0.25">
      <c r="A202" s="16">
        <f>Incidencias!B127</f>
        <v>0</v>
      </c>
      <c r="B202" s="12">
        <f>IF(Incidencias!E127="Mejora",0,MONTH(Incidencias!C127))</f>
        <v>1</v>
      </c>
      <c r="C202" s="12">
        <f>IF(Incidencias!M127="Entregada",MONTH(Incidencias!N127),0)</f>
        <v>0</v>
      </c>
      <c r="D202" s="16">
        <f>IF(Incidencias!M127="Cerrada",MONTH(Incidencias!O127),0)</f>
        <v>0</v>
      </c>
      <c r="E202" s="14"/>
      <c r="O202" s="14"/>
      <c r="P202" s="16">
        <f>Incidencias!B127</f>
        <v>0</v>
      </c>
      <c r="Q202" s="12">
        <f>IF(Incidencias!E127="MEJORA",0,WEEKNUM(Incidencias!C127))</f>
        <v>0</v>
      </c>
      <c r="R202" s="16">
        <f>WEEKNUM(Incidencias!N127)</f>
        <v>0</v>
      </c>
    </row>
    <row r="203" spans="1:18" x14ac:dyDescent="0.25">
      <c r="A203" s="16">
        <f>Incidencias!B128</f>
        <v>0</v>
      </c>
      <c r="B203" s="12">
        <f>IF(Incidencias!E128="Mejora",0,MONTH(Incidencias!C128))</f>
        <v>1</v>
      </c>
      <c r="C203" s="12">
        <f>IF(Incidencias!M128="Entregada",MONTH(Incidencias!N128),0)</f>
        <v>0</v>
      </c>
      <c r="D203" s="16">
        <f>IF(Incidencias!M128="Cerrada",MONTH(Incidencias!O128),0)</f>
        <v>0</v>
      </c>
      <c r="E203" s="14"/>
      <c r="O203" s="14"/>
      <c r="P203" s="16">
        <f>Incidencias!B128</f>
        <v>0</v>
      </c>
      <c r="Q203" s="12">
        <f>IF(Incidencias!E128="MEJORA",0,WEEKNUM(Incidencias!C128))</f>
        <v>0</v>
      </c>
      <c r="R203" s="16">
        <f>WEEKNUM(Incidencias!N128)</f>
        <v>0</v>
      </c>
    </row>
    <row r="204" spans="1:18" x14ac:dyDescent="0.25">
      <c r="A204" s="16">
        <f>Incidencias!B129</f>
        <v>0</v>
      </c>
      <c r="B204" s="12">
        <f>IF(Incidencias!E129="Mejora",0,MONTH(Incidencias!C129))</f>
        <v>1</v>
      </c>
      <c r="C204" s="12">
        <f>IF(Incidencias!M129="Entregada",MONTH(Incidencias!N129),0)</f>
        <v>0</v>
      </c>
      <c r="D204" s="16">
        <f>IF(Incidencias!M129="Cerrada",MONTH(Incidencias!O129),0)</f>
        <v>0</v>
      </c>
      <c r="E204" s="14"/>
      <c r="O204" s="14"/>
      <c r="P204" s="16">
        <f>Incidencias!B129</f>
        <v>0</v>
      </c>
      <c r="Q204" s="12">
        <f>IF(Incidencias!E129="MEJORA",0,WEEKNUM(Incidencias!C129))</f>
        <v>0</v>
      </c>
      <c r="R204" s="16">
        <f>WEEKNUM(Incidencias!N129)</f>
        <v>0</v>
      </c>
    </row>
    <row r="205" spans="1:18" x14ac:dyDescent="0.25">
      <c r="A205" s="16">
        <f>Incidencias!B130</f>
        <v>0</v>
      </c>
      <c r="B205" s="12">
        <f>IF(Incidencias!E130="Mejora",0,MONTH(Incidencias!C130))</f>
        <v>1</v>
      </c>
      <c r="C205" s="12">
        <f>IF(Incidencias!M130="Entregada",MONTH(Incidencias!N130),0)</f>
        <v>0</v>
      </c>
      <c r="D205" s="16">
        <f>IF(Incidencias!M130="Cerrada",MONTH(Incidencias!O130),0)</f>
        <v>0</v>
      </c>
      <c r="E205" s="14"/>
      <c r="O205" s="14"/>
      <c r="P205" s="16">
        <f>Incidencias!B130</f>
        <v>0</v>
      </c>
      <c r="Q205" s="12">
        <f>IF(Incidencias!E130="MEJORA",0,WEEKNUM(Incidencias!C130))</f>
        <v>0</v>
      </c>
      <c r="R205" s="16">
        <f>WEEKNUM(Incidencias!N130)</f>
        <v>0</v>
      </c>
    </row>
    <row r="206" spans="1:18" x14ac:dyDescent="0.25">
      <c r="A206" s="16">
        <f>Incidencias!B131</f>
        <v>0</v>
      </c>
      <c r="B206" s="12">
        <f>IF(Incidencias!E131="Mejora",0,MONTH(Incidencias!C131))</f>
        <v>1</v>
      </c>
      <c r="C206" s="12">
        <f>IF(Incidencias!M131="Entregada",MONTH(Incidencias!N131),0)</f>
        <v>0</v>
      </c>
      <c r="D206" s="16">
        <f>IF(Incidencias!M131="Cerrada",MONTH(Incidencias!O131),0)</f>
        <v>0</v>
      </c>
      <c r="E206" s="14"/>
      <c r="O206" s="14"/>
      <c r="P206" s="16">
        <f>Incidencias!B131</f>
        <v>0</v>
      </c>
      <c r="Q206" s="12">
        <f>IF(Incidencias!E131="MEJORA",0,WEEKNUM(Incidencias!C131))</f>
        <v>0</v>
      </c>
      <c r="R206" s="16">
        <f>WEEKNUM(Incidencias!N131)</f>
        <v>0</v>
      </c>
    </row>
    <row r="207" spans="1:18" x14ac:dyDescent="0.25">
      <c r="A207" s="16">
        <f>Incidencias!B132</f>
        <v>0</v>
      </c>
      <c r="B207" s="12">
        <f>IF(Incidencias!E132="Mejora",0,MONTH(Incidencias!C132))</f>
        <v>1</v>
      </c>
      <c r="C207" s="12">
        <f>IF(Incidencias!M132="Entregada",MONTH(Incidencias!N132),0)</f>
        <v>0</v>
      </c>
      <c r="D207" s="16">
        <f>IF(Incidencias!M132="Cerrada",MONTH(Incidencias!O132),0)</f>
        <v>0</v>
      </c>
      <c r="E207" s="14"/>
      <c r="O207" s="14"/>
      <c r="P207" s="16">
        <f>Incidencias!B132</f>
        <v>0</v>
      </c>
      <c r="Q207" s="12">
        <f>IF(Incidencias!E132="MEJORA",0,WEEKNUM(Incidencias!C132))</f>
        <v>0</v>
      </c>
      <c r="R207" s="16">
        <f>WEEKNUM(Incidencias!N132)</f>
        <v>0</v>
      </c>
    </row>
    <row r="208" spans="1:18" x14ac:dyDescent="0.25">
      <c r="A208" s="16">
        <f>Incidencias!B133</f>
        <v>0</v>
      </c>
      <c r="B208" s="12">
        <f>IF(Incidencias!E133="Mejora",0,MONTH(Incidencias!C133))</f>
        <v>1</v>
      </c>
      <c r="C208" s="12">
        <f>IF(Incidencias!M133="Entregada",MONTH(Incidencias!N133),0)</f>
        <v>0</v>
      </c>
      <c r="D208" s="16">
        <f>IF(Incidencias!M133="Cerrada",MONTH(Incidencias!O133),0)</f>
        <v>0</v>
      </c>
      <c r="E208" s="14"/>
      <c r="O208" s="14"/>
      <c r="P208" s="16">
        <f>Incidencias!B133</f>
        <v>0</v>
      </c>
      <c r="Q208" s="12">
        <f>IF(Incidencias!E133="MEJORA",0,WEEKNUM(Incidencias!C133))</f>
        <v>0</v>
      </c>
      <c r="R208" s="16">
        <f>WEEKNUM(Incidencias!N133)</f>
        <v>0</v>
      </c>
    </row>
    <row r="209" spans="1:18" x14ac:dyDescent="0.25">
      <c r="A209" s="16">
        <f>Incidencias!B134</f>
        <v>0</v>
      </c>
      <c r="B209" s="12">
        <f>IF(Incidencias!E134="Mejora",0,MONTH(Incidencias!C134))</f>
        <v>1</v>
      </c>
      <c r="C209" s="12">
        <f>IF(Incidencias!M134="Entregada",MONTH(Incidencias!N134),0)</f>
        <v>0</v>
      </c>
      <c r="D209" s="16">
        <f>IF(Incidencias!M134="Cerrada",MONTH(Incidencias!O134),0)</f>
        <v>0</v>
      </c>
      <c r="E209" s="14"/>
      <c r="O209" s="14"/>
      <c r="P209" s="16">
        <f>Incidencias!B134</f>
        <v>0</v>
      </c>
      <c r="Q209" s="12">
        <f>IF(Incidencias!E134="MEJORA",0,WEEKNUM(Incidencias!C134))</f>
        <v>0</v>
      </c>
      <c r="R209" s="16">
        <f>WEEKNUM(Incidencias!N134)</f>
        <v>0</v>
      </c>
    </row>
    <row r="210" spans="1:18" x14ac:dyDescent="0.25">
      <c r="A210" s="16">
        <f>Incidencias!B135</f>
        <v>0</v>
      </c>
      <c r="B210" s="12">
        <f>IF(Incidencias!E135="Mejora",0,MONTH(Incidencias!C135))</f>
        <v>1</v>
      </c>
      <c r="C210" s="12">
        <f>IF(Incidencias!M135="Entregada",MONTH(Incidencias!N135),0)</f>
        <v>0</v>
      </c>
      <c r="D210" s="16">
        <f>IF(Incidencias!M135="Cerrada",MONTH(Incidencias!O135),0)</f>
        <v>0</v>
      </c>
      <c r="E210" s="14"/>
      <c r="O210" s="14"/>
      <c r="P210" s="16">
        <f>Incidencias!B135</f>
        <v>0</v>
      </c>
      <c r="Q210" s="12">
        <f>IF(Incidencias!E135="MEJORA",0,WEEKNUM(Incidencias!C135))</f>
        <v>0</v>
      </c>
      <c r="R210" s="16">
        <f>WEEKNUM(Incidencias!N135)</f>
        <v>0</v>
      </c>
    </row>
    <row r="211" spans="1:18" x14ac:dyDescent="0.25">
      <c r="A211" s="16">
        <f>Incidencias!B136</f>
        <v>0</v>
      </c>
      <c r="B211" s="12">
        <f>IF(Incidencias!E136="Mejora",0,MONTH(Incidencias!C136))</f>
        <v>1</v>
      </c>
      <c r="C211" s="12">
        <f>IF(Incidencias!M136="Entregada",MONTH(Incidencias!N136),0)</f>
        <v>0</v>
      </c>
      <c r="D211" s="16">
        <f>IF(Incidencias!M136="Cerrada",MONTH(Incidencias!O136),0)</f>
        <v>0</v>
      </c>
      <c r="E211" s="14"/>
      <c r="O211" s="14"/>
      <c r="P211" s="16">
        <f>Incidencias!B136</f>
        <v>0</v>
      </c>
      <c r="Q211" s="12">
        <f>IF(Incidencias!E136="MEJORA",0,WEEKNUM(Incidencias!C136))</f>
        <v>0</v>
      </c>
      <c r="R211" s="16">
        <f>WEEKNUM(Incidencias!N136)</f>
        <v>0</v>
      </c>
    </row>
    <row r="212" spans="1:18" x14ac:dyDescent="0.25">
      <c r="A212" s="16">
        <f>Incidencias!B137</f>
        <v>0</v>
      </c>
      <c r="B212" s="12">
        <f>IF(Incidencias!E137="Mejora",0,MONTH(Incidencias!C137))</f>
        <v>1</v>
      </c>
      <c r="C212" s="12">
        <f>IF(Incidencias!M137="Entregada",MONTH(Incidencias!N137),0)</f>
        <v>0</v>
      </c>
      <c r="D212" s="16">
        <f>IF(Incidencias!M137="Cerrada",MONTH(Incidencias!O137),0)</f>
        <v>0</v>
      </c>
      <c r="E212" s="14"/>
      <c r="O212" s="14"/>
      <c r="P212" s="16">
        <f>Incidencias!B137</f>
        <v>0</v>
      </c>
      <c r="Q212" s="12">
        <f>IF(Incidencias!E137="MEJORA",0,WEEKNUM(Incidencias!C137))</f>
        <v>0</v>
      </c>
      <c r="R212" s="16">
        <f>WEEKNUM(Incidencias!N137)</f>
        <v>0</v>
      </c>
    </row>
    <row r="213" spans="1:18" x14ac:dyDescent="0.25">
      <c r="A213" s="16">
        <f>Incidencias!B138</f>
        <v>0</v>
      </c>
      <c r="B213" s="12">
        <f>IF(Incidencias!E138="Mejora",0,MONTH(Incidencias!C138))</f>
        <v>1</v>
      </c>
      <c r="C213" s="12">
        <f>IF(Incidencias!M138="Entregada",MONTH(Incidencias!N138),0)</f>
        <v>0</v>
      </c>
      <c r="D213" s="16">
        <f>IF(Incidencias!M138="Cerrada",MONTH(Incidencias!O138),0)</f>
        <v>0</v>
      </c>
      <c r="E213" s="14"/>
      <c r="O213" s="14"/>
      <c r="P213" s="16">
        <f>Incidencias!B138</f>
        <v>0</v>
      </c>
      <c r="Q213" s="12">
        <f>IF(Incidencias!E138="MEJORA",0,WEEKNUM(Incidencias!C138))</f>
        <v>0</v>
      </c>
      <c r="R213" s="16">
        <f>WEEKNUM(Incidencias!N138)</f>
        <v>0</v>
      </c>
    </row>
    <row r="214" spans="1:18" x14ac:dyDescent="0.25">
      <c r="A214" s="16">
        <f>Incidencias!B139</f>
        <v>0</v>
      </c>
      <c r="B214" s="12">
        <f>IF(Incidencias!E139="Mejora",0,MONTH(Incidencias!C139))</f>
        <v>1</v>
      </c>
      <c r="C214" s="12">
        <f>IF(Incidencias!M139="Entregada",MONTH(Incidencias!N139),0)</f>
        <v>0</v>
      </c>
      <c r="D214" s="16">
        <f>IF(Incidencias!M139="Cerrada",MONTH(Incidencias!O139),0)</f>
        <v>0</v>
      </c>
      <c r="E214" s="14"/>
      <c r="O214" s="14"/>
      <c r="P214" s="16">
        <f>Incidencias!B139</f>
        <v>0</v>
      </c>
      <c r="Q214" s="12">
        <f>IF(Incidencias!E139="MEJORA",0,WEEKNUM(Incidencias!C139))</f>
        <v>0</v>
      </c>
      <c r="R214" s="16">
        <f>WEEKNUM(Incidencias!N139)</f>
        <v>0</v>
      </c>
    </row>
    <row r="215" spans="1:18" x14ac:dyDescent="0.25">
      <c r="A215" s="16">
        <f>Incidencias!B140</f>
        <v>0</v>
      </c>
      <c r="B215" s="12">
        <f>IF(Incidencias!E140="Mejora",0,MONTH(Incidencias!C140))</f>
        <v>1</v>
      </c>
      <c r="C215" s="12">
        <f>IF(Incidencias!M140="Entregada",MONTH(Incidencias!N140),0)</f>
        <v>0</v>
      </c>
      <c r="D215" s="16">
        <f>IF(Incidencias!M140="Cerrada",MONTH(Incidencias!O140),0)</f>
        <v>0</v>
      </c>
      <c r="E215" s="14"/>
      <c r="O215" s="14"/>
      <c r="P215" s="16">
        <f>Incidencias!B140</f>
        <v>0</v>
      </c>
      <c r="Q215" s="12">
        <f>IF(Incidencias!E140="MEJORA",0,WEEKNUM(Incidencias!C140))</f>
        <v>0</v>
      </c>
      <c r="R215" s="16">
        <f>WEEKNUM(Incidencias!N140)</f>
        <v>0</v>
      </c>
    </row>
    <row r="216" spans="1:18" x14ac:dyDescent="0.25">
      <c r="A216" s="16">
        <f>Incidencias!B141</f>
        <v>0</v>
      </c>
      <c r="B216" s="12">
        <f>IF(Incidencias!E141="Mejora",0,MONTH(Incidencias!C141))</f>
        <v>1</v>
      </c>
      <c r="C216" s="12">
        <f>IF(Incidencias!M141="Entregada",MONTH(Incidencias!N141),0)</f>
        <v>0</v>
      </c>
      <c r="D216" s="16">
        <f>IF(Incidencias!M141="Cerrada",MONTH(Incidencias!O141),0)</f>
        <v>0</v>
      </c>
      <c r="E216" s="14"/>
      <c r="O216" s="14"/>
      <c r="P216" s="16">
        <f>Incidencias!B141</f>
        <v>0</v>
      </c>
      <c r="Q216" s="12">
        <f>IF(Incidencias!E141="MEJORA",0,WEEKNUM(Incidencias!C141))</f>
        <v>0</v>
      </c>
      <c r="R216" s="16">
        <f>WEEKNUM(Incidencias!N141)</f>
        <v>0</v>
      </c>
    </row>
    <row r="217" spans="1:18" x14ac:dyDescent="0.25">
      <c r="A217" s="16">
        <f>Incidencias!B142</f>
        <v>0</v>
      </c>
      <c r="B217" s="12">
        <f>IF(Incidencias!E142="Mejora",0,MONTH(Incidencias!C142))</f>
        <v>1</v>
      </c>
      <c r="C217" s="12">
        <f>IF(Incidencias!M142="Entregada",MONTH(Incidencias!N142),0)</f>
        <v>0</v>
      </c>
      <c r="D217" s="16">
        <f>IF(Incidencias!M142="Cerrada",MONTH(Incidencias!O142),0)</f>
        <v>0</v>
      </c>
      <c r="E217" s="14"/>
      <c r="O217" s="14"/>
      <c r="P217" s="16">
        <f>Incidencias!B142</f>
        <v>0</v>
      </c>
      <c r="Q217" s="12">
        <f>IF(Incidencias!E142="MEJORA",0,WEEKNUM(Incidencias!C142))</f>
        <v>0</v>
      </c>
      <c r="R217" s="16">
        <f>WEEKNUM(Incidencias!N142)</f>
        <v>0</v>
      </c>
    </row>
    <row r="218" spans="1:18" x14ac:dyDescent="0.25">
      <c r="A218" s="16">
        <f>Incidencias!B143</f>
        <v>0</v>
      </c>
      <c r="B218" s="12">
        <f>IF(Incidencias!E143="Mejora",0,MONTH(Incidencias!C143))</f>
        <v>1</v>
      </c>
      <c r="C218" s="12">
        <f>IF(Incidencias!M143="Entregada",MONTH(Incidencias!N143),0)</f>
        <v>0</v>
      </c>
      <c r="D218" s="16">
        <f>IF(Incidencias!M143="Cerrada",MONTH(Incidencias!O143),0)</f>
        <v>0</v>
      </c>
      <c r="E218" s="14"/>
      <c r="O218" s="14"/>
      <c r="P218" s="16">
        <f>Incidencias!B143</f>
        <v>0</v>
      </c>
      <c r="Q218" s="12">
        <f>IF(Incidencias!E143="MEJORA",0,WEEKNUM(Incidencias!C143))</f>
        <v>0</v>
      </c>
      <c r="R218" s="16">
        <f>WEEKNUM(Incidencias!N143)</f>
        <v>0</v>
      </c>
    </row>
    <row r="219" spans="1:18" x14ac:dyDescent="0.25">
      <c r="A219" s="16">
        <f>Incidencias!B144</f>
        <v>0</v>
      </c>
      <c r="B219" s="12">
        <f>IF(Incidencias!E144="Mejora",0,MONTH(Incidencias!C144))</f>
        <v>1</v>
      </c>
      <c r="C219" s="12">
        <f>IF(Incidencias!M144="Entregada",MONTH(Incidencias!N144),0)</f>
        <v>0</v>
      </c>
      <c r="D219" s="16">
        <f>IF(Incidencias!M144="Cerrada",MONTH(Incidencias!O144),0)</f>
        <v>0</v>
      </c>
      <c r="E219" s="14"/>
      <c r="O219" s="14"/>
      <c r="P219" s="16">
        <f>Incidencias!B144</f>
        <v>0</v>
      </c>
      <c r="Q219" s="12">
        <f>IF(Incidencias!E144="MEJORA",0,WEEKNUM(Incidencias!C144))</f>
        <v>0</v>
      </c>
      <c r="R219" s="16">
        <f>WEEKNUM(Incidencias!N144)</f>
        <v>0</v>
      </c>
    </row>
    <row r="220" spans="1:18" x14ac:dyDescent="0.25">
      <c r="A220" s="16">
        <f>Incidencias!B145</f>
        <v>0</v>
      </c>
      <c r="B220" s="12">
        <f>IF(Incidencias!E145="Mejora",0,MONTH(Incidencias!C145))</f>
        <v>1</v>
      </c>
      <c r="C220" s="12">
        <f>IF(Incidencias!M145="Entregada",MONTH(Incidencias!N145),0)</f>
        <v>0</v>
      </c>
      <c r="D220" s="16">
        <f>IF(Incidencias!M145="Cerrada",MONTH(Incidencias!O145),0)</f>
        <v>0</v>
      </c>
      <c r="E220" s="14"/>
      <c r="O220" s="14"/>
      <c r="P220" s="16">
        <f>Incidencias!B145</f>
        <v>0</v>
      </c>
      <c r="Q220" s="12">
        <f>IF(Incidencias!E145="MEJORA",0,WEEKNUM(Incidencias!C145))</f>
        <v>0</v>
      </c>
      <c r="R220" s="16">
        <f>WEEKNUM(Incidencias!N145)</f>
        <v>0</v>
      </c>
    </row>
    <row r="221" spans="1:18" x14ac:dyDescent="0.25">
      <c r="A221" s="16">
        <f>Incidencias!B146</f>
        <v>0</v>
      </c>
      <c r="B221" s="12">
        <f>IF(Incidencias!E146="Mejora",0,MONTH(Incidencias!C146))</f>
        <v>1</v>
      </c>
      <c r="C221" s="12">
        <f>IF(Incidencias!M146="Entregada",MONTH(Incidencias!N146),0)</f>
        <v>0</v>
      </c>
      <c r="D221" s="16">
        <f>IF(Incidencias!M146="Cerrada",MONTH(Incidencias!O146),0)</f>
        <v>0</v>
      </c>
      <c r="E221" s="14"/>
      <c r="O221" s="14"/>
      <c r="P221" s="16">
        <f>Incidencias!B146</f>
        <v>0</v>
      </c>
      <c r="Q221" s="12">
        <f>IF(Incidencias!E146="MEJORA",0,WEEKNUM(Incidencias!C146))</f>
        <v>0</v>
      </c>
      <c r="R221" s="16">
        <f>WEEKNUM(Incidencias!N146)</f>
        <v>0</v>
      </c>
    </row>
    <row r="222" spans="1:18" x14ac:dyDescent="0.25">
      <c r="A222" s="16">
        <f>Incidencias!B147</f>
        <v>0</v>
      </c>
      <c r="B222" s="12">
        <f>IF(Incidencias!E147="Mejora",0,MONTH(Incidencias!C147))</f>
        <v>1</v>
      </c>
      <c r="C222" s="12">
        <f>IF(Incidencias!M147="Entregada",MONTH(Incidencias!N147),0)</f>
        <v>0</v>
      </c>
      <c r="D222" s="16">
        <f>IF(Incidencias!M147="Cerrada",MONTH(Incidencias!O147),0)</f>
        <v>0</v>
      </c>
      <c r="E222" s="14"/>
      <c r="O222" s="14"/>
      <c r="P222" s="16">
        <f>Incidencias!B147</f>
        <v>0</v>
      </c>
      <c r="Q222" s="12">
        <f>IF(Incidencias!E147="MEJORA",0,WEEKNUM(Incidencias!C147))</f>
        <v>0</v>
      </c>
      <c r="R222" s="16">
        <f>WEEKNUM(Incidencias!N147)</f>
        <v>0</v>
      </c>
    </row>
    <row r="223" spans="1:18" x14ac:dyDescent="0.25">
      <c r="A223" s="16">
        <f>Incidencias!B148</f>
        <v>0</v>
      </c>
      <c r="B223" s="12">
        <f>IF(Incidencias!E148="Mejora",0,MONTH(Incidencias!C148))</f>
        <v>1</v>
      </c>
      <c r="C223" s="12">
        <f>IF(Incidencias!M148="Entregada",MONTH(Incidencias!N148),0)</f>
        <v>0</v>
      </c>
      <c r="D223" s="16">
        <f>IF(Incidencias!M148="Cerrada",MONTH(Incidencias!O148),0)</f>
        <v>0</v>
      </c>
      <c r="E223" s="14"/>
      <c r="O223" s="14"/>
      <c r="P223" s="16">
        <f>Incidencias!B148</f>
        <v>0</v>
      </c>
      <c r="Q223" s="12">
        <f>IF(Incidencias!E148="MEJORA",0,WEEKNUM(Incidencias!C148))</f>
        <v>0</v>
      </c>
      <c r="R223" s="16">
        <f>WEEKNUM(Incidencias!N148)</f>
        <v>0</v>
      </c>
    </row>
    <row r="224" spans="1:18" x14ac:dyDescent="0.25">
      <c r="A224" s="16">
        <f>Incidencias!B149</f>
        <v>0</v>
      </c>
      <c r="B224" s="12">
        <f>IF(Incidencias!E149="Mejora",0,MONTH(Incidencias!C149))</f>
        <v>1</v>
      </c>
      <c r="C224" s="12">
        <f>IF(Incidencias!M149="Entregada",MONTH(Incidencias!N149),0)</f>
        <v>0</v>
      </c>
      <c r="D224" s="16">
        <f>IF(Incidencias!M149="Cerrada",MONTH(Incidencias!O149),0)</f>
        <v>0</v>
      </c>
      <c r="E224" s="14"/>
      <c r="O224" s="14"/>
      <c r="P224" s="16">
        <f>Incidencias!B149</f>
        <v>0</v>
      </c>
      <c r="Q224" s="12">
        <f>IF(Incidencias!E149="MEJORA",0,WEEKNUM(Incidencias!C149))</f>
        <v>0</v>
      </c>
      <c r="R224" s="16">
        <f>WEEKNUM(Incidencias!N149)</f>
        <v>0</v>
      </c>
    </row>
    <row r="225" spans="1:18" x14ac:dyDescent="0.25">
      <c r="A225" s="16">
        <f>Incidencias!B150</f>
        <v>0</v>
      </c>
      <c r="B225" s="12">
        <f>IF(Incidencias!E150="Mejora",0,MONTH(Incidencias!C150))</f>
        <v>1</v>
      </c>
      <c r="C225" s="12">
        <f>IF(Incidencias!M150="Entregada",MONTH(Incidencias!N150),0)</f>
        <v>0</v>
      </c>
      <c r="D225" s="16">
        <f>IF(Incidencias!M150="Cerrada",MONTH(Incidencias!O150),0)</f>
        <v>0</v>
      </c>
      <c r="E225" s="14"/>
      <c r="O225" s="14"/>
      <c r="P225" s="16">
        <f>Incidencias!B150</f>
        <v>0</v>
      </c>
      <c r="Q225" s="12">
        <f>IF(Incidencias!E150="MEJORA",0,WEEKNUM(Incidencias!C150))</f>
        <v>0</v>
      </c>
      <c r="R225" s="16">
        <f>WEEKNUM(Incidencias!N150)</f>
        <v>0</v>
      </c>
    </row>
    <row r="226" spans="1:18" x14ac:dyDescent="0.25">
      <c r="A226" s="16">
        <f>Incidencias!B151</f>
        <v>0</v>
      </c>
      <c r="B226" s="12">
        <f>IF(Incidencias!E151="Mejora",0,MONTH(Incidencias!C151))</f>
        <v>1</v>
      </c>
      <c r="C226" s="12">
        <f>IF(Incidencias!M151="Entregada",MONTH(Incidencias!N151),0)</f>
        <v>0</v>
      </c>
      <c r="D226" s="16">
        <f>IF(Incidencias!M151="Cerrada",MONTH(Incidencias!O151),0)</f>
        <v>0</v>
      </c>
      <c r="E226" s="14"/>
      <c r="O226" s="14"/>
      <c r="P226" s="16">
        <f>Incidencias!B151</f>
        <v>0</v>
      </c>
      <c r="Q226" s="12">
        <f>IF(Incidencias!E151="MEJORA",0,WEEKNUM(Incidencias!C151))</f>
        <v>0</v>
      </c>
      <c r="R226" s="16">
        <f>WEEKNUM(Incidencias!N151)</f>
        <v>0</v>
      </c>
    </row>
    <row r="227" spans="1:18" x14ac:dyDescent="0.25">
      <c r="A227" s="16">
        <f>Incidencias!B152</f>
        <v>0</v>
      </c>
      <c r="B227" s="12">
        <f>IF(Incidencias!E152="Mejora",0,MONTH(Incidencias!C152))</f>
        <v>1</v>
      </c>
      <c r="C227" s="12">
        <f>IF(Incidencias!M152="Entregada",MONTH(Incidencias!N152),0)</f>
        <v>0</v>
      </c>
      <c r="D227" s="16">
        <f>IF(Incidencias!M152="Cerrada",MONTH(Incidencias!O152),0)</f>
        <v>0</v>
      </c>
      <c r="E227" s="14"/>
      <c r="O227" s="14"/>
      <c r="P227" s="16">
        <f>Incidencias!B152</f>
        <v>0</v>
      </c>
      <c r="Q227" s="12">
        <f>IF(Incidencias!E152="MEJORA",0,WEEKNUM(Incidencias!C152))</f>
        <v>0</v>
      </c>
      <c r="R227" s="16">
        <f>WEEKNUM(Incidencias!N152)</f>
        <v>0</v>
      </c>
    </row>
    <row r="228" spans="1:18" x14ac:dyDescent="0.25">
      <c r="A228" s="16">
        <f>Incidencias!B153</f>
        <v>0</v>
      </c>
      <c r="B228" s="12">
        <f>IF(Incidencias!E153="Mejora",0,MONTH(Incidencias!C153))</f>
        <v>1</v>
      </c>
      <c r="C228" s="12">
        <f>IF(Incidencias!M153="Entregada",MONTH(Incidencias!N153),0)</f>
        <v>0</v>
      </c>
      <c r="D228" s="16">
        <f>IF(Incidencias!M153="Cerrada",MONTH(Incidencias!O153),0)</f>
        <v>0</v>
      </c>
      <c r="E228" s="14"/>
      <c r="O228" s="14"/>
      <c r="P228" s="16">
        <f>Incidencias!B153</f>
        <v>0</v>
      </c>
      <c r="Q228" s="12">
        <f>IF(Incidencias!E153="MEJORA",0,WEEKNUM(Incidencias!C153))</f>
        <v>0</v>
      </c>
      <c r="R228" s="16">
        <f>WEEKNUM(Incidencias!N153)</f>
        <v>0</v>
      </c>
    </row>
    <row r="229" spans="1:18" x14ac:dyDescent="0.25">
      <c r="A229" s="16">
        <f>Incidencias!B154</f>
        <v>0</v>
      </c>
      <c r="B229" s="12">
        <f>IF(Incidencias!E154="Mejora",0,MONTH(Incidencias!C154))</f>
        <v>1</v>
      </c>
      <c r="C229" s="12">
        <f>IF(Incidencias!M154="Entregada",MONTH(Incidencias!N154),0)</f>
        <v>0</v>
      </c>
      <c r="D229" s="16">
        <f>IF(Incidencias!M154="Cerrada",MONTH(Incidencias!O154),0)</f>
        <v>0</v>
      </c>
      <c r="E229" s="14"/>
      <c r="O229" s="14"/>
      <c r="P229" s="16">
        <f>Incidencias!B154</f>
        <v>0</v>
      </c>
      <c r="Q229" s="12">
        <f>IF(Incidencias!E154="MEJORA",0,WEEKNUM(Incidencias!C154))</f>
        <v>0</v>
      </c>
      <c r="R229" s="16">
        <f>WEEKNUM(Incidencias!N154)</f>
        <v>0</v>
      </c>
    </row>
    <row r="230" spans="1:18" x14ac:dyDescent="0.25">
      <c r="A230" s="16">
        <f>Incidencias!B155</f>
        <v>0</v>
      </c>
      <c r="B230" s="12">
        <f>IF(Incidencias!E155="Mejora",0,MONTH(Incidencias!C155))</f>
        <v>1</v>
      </c>
      <c r="C230" s="12">
        <f>IF(Incidencias!M155="Entregada",MONTH(Incidencias!N155),0)</f>
        <v>0</v>
      </c>
      <c r="D230" s="16">
        <f>IF(Incidencias!M155="Cerrada",MONTH(Incidencias!O155),0)</f>
        <v>0</v>
      </c>
      <c r="E230" s="14"/>
      <c r="O230" s="14"/>
      <c r="P230" s="16">
        <f>Incidencias!B155</f>
        <v>0</v>
      </c>
      <c r="Q230" s="12">
        <f>IF(Incidencias!E155="MEJORA",0,WEEKNUM(Incidencias!C155))</f>
        <v>0</v>
      </c>
      <c r="R230" s="16">
        <f>WEEKNUM(Incidencias!N155)</f>
        <v>0</v>
      </c>
    </row>
    <row r="231" spans="1:18" x14ac:dyDescent="0.25">
      <c r="A231" s="16">
        <f>Incidencias!B156</f>
        <v>0</v>
      </c>
      <c r="B231" s="12">
        <f>IF(Incidencias!E156="Mejora",0,MONTH(Incidencias!C156))</f>
        <v>1</v>
      </c>
      <c r="C231" s="12">
        <f>IF(Incidencias!M156="Entregada",MONTH(Incidencias!N156),0)</f>
        <v>0</v>
      </c>
      <c r="D231" s="16">
        <f>IF(Incidencias!M156="Cerrada",MONTH(Incidencias!O156),0)</f>
        <v>0</v>
      </c>
      <c r="E231" s="14"/>
      <c r="O231" s="14"/>
      <c r="P231" s="16">
        <f>Incidencias!B156</f>
        <v>0</v>
      </c>
      <c r="Q231" s="12">
        <f>IF(Incidencias!E156="MEJORA",0,WEEKNUM(Incidencias!C156))</f>
        <v>0</v>
      </c>
      <c r="R231" s="16">
        <f>WEEKNUM(Incidencias!N156)</f>
        <v>0</v>
      </c>
    </row>
    <row r="232" spans="1:18" x14ac:dyDescent="0.25">
      <c r="A232" s="16">
        <f>Incidencias!B157</f>
        <v>0</v>
      </c>
      <c r="B232" s="12">
        <f>IF(Incidencias!E157="Mejora",0,MONTH(Incidencias!C157))</f>
        <v>1</v>
      </c>
      <c r="C232" s="12">
        <f>IF(Incidencias!M157="Entregada",MONTH(Incidencias!N157),0)</f>
        <v>0</v>
      </c>
      <c r="D232" s="16">
        <f>IF(Incidencias!M157="Cerrada",MONTH(Incidencias!O157),0)</f>
        <v>0</v>
      </c>
      <c r="E232" s="14"/>
      <c r="O232" s="14"/>
      <c r="P232" s="16">
        <f>Incidencias!B157</f>
        <v>0</v>
      </c>
      <c r="Q232" s="12">
        <f>IF(Incidencias!E157="MEJORA",0,WEEKNUM(Incidencias!C157))</f>
        <v>0</v>
      </c>
      <c r="R232" s="16">
        <f>WEEKNUM(Incidencias!N157)</f>
        <v>0</v>
      </c>
    </row>
    <row r="233" spans="1:18" x14ac:dyDescent="0.25">
      <c r="A233" s="16">
        <f>Incidencias!B158</f>
        <v>0</v>
      </c>
      <c r="B233" s="12">
        <f>IF(Incidencias!E158="Mejora",0,MONTH(Incidencias!C158))</f>
        <v>1</v>
      </c>
      <c r="C233" s="12">
        <f>IF(Incidencias!M158="Entregada",MONTH(Incidencias!N158),0)</f>
        <v>0</v>
      </c>
      <c r="D233" s="16">
        <f>IF(Incidencias!M158="Cerrada",MONTH(Incidencias!O158),0)</f>
        <v>0</v>
      </c>
      <c r="E233" s="14"/>
      <c r="O233" s="14"/>
      <c r="P233" s="16">
        <f>Incidencias!B158</f>
        <v>0</v>
      </c>
      <c r="Q233" s="12">
        <f>IF(Incidencias!E158="MEJORA",0,WEEKNUM(Incidencias!C158))</f>
        <v>0</v>
      </c>
      <c r="R233" s="16">
        <f>WEEKNUM(Incidencias!N158)</f>
        <v>0</v>
      </c>
    </row>
    <row r="234" spans="1:18" x14ac:dyDescent="0.25">
      <c r="A234" s="16">
        <f>Incidencias!B159</f>
        <v>0</v>
      </c>
      <c r="B234" s="12">
        <f>IF(Incidencias!E159="Mejora",0,MONTH(Incidencias!C159))</f>
        <v>1</v>
      </c>
      <c r="C234" s="12">
        <f>IF(Incidencias!M159="Entregada",MONTH(Incidencias!N159),0)</f>
        <v>0</v>
      </c>
      <c r="D234" s="16">
        <f>IF(Incidencias!M159="Cerrada",MONTH(Incidencias!O159),0)</f>
        <v>0</v>
      </c>
      <c r="E234" s="14"/>
      <c r="O234" s="14"/>
      <c r="P234" s="16">
        <f>Incidencias!B159</f>
        <v>0</v>
      </c>
      <c r="Q234" s="12">
        <f>IF(Incidencias!E159="MEJORA",0,WEEKNUM(Incidencias!C159))</f>
        <v>0</v>
      </c>
      <c r="R234" s="16">
        <f>WEEKNUM(Incidencias!N159)</f>
        <v>0</v>
      </c>
    </row>
    <row r="235" spans="1:18" x14ac:dyDescent="0.25">
      <c r="A235" s="16">
        <f>Incidencias!B160</f>
        <v>0</v>
      </c>
      <c r="B235" s="12">
        <f>IF(Incidencias!E160="Mejora",0,MONTH(Incidencias!C160))</f>
        <v>1</v>
      </c>
      <c r="C235" s="12">
        <f>IF(Incidencias!M160="Entregada",MONTH(Incidencias!N160),0)</f>
        <v>0</v>
      </c>
      <c r="D235" s="16">
        <f>IF(Incidencias!M160="Cerrada",MONTH(Incidencias!O160),0)</f>
        <v>0</v>
      </c>
      <c r="E235" s="14"/>
      <c r="O235" s="14"/>
      <c r="P235" s="16">
        <f>Incidencias!B160</f>
        <v>0</v>
      </c>
      <c r="Q235" s="12">
        <f>IF(Incidencias!E160="MEJORA",0,WEEKNUM(Incidencias!C160))</f>
        <v>0</v>
      </c>
      <c r="R235" s="16">
        <f>WEEKNUM(Incidencias!N160)</f>
        <v>0</v>
      </c>
    </row>
    <row r="236" spans="1:18" x14ac:dyDescent="0.25">
      <c r="A236" s="16">
        <f>Incidencias!B161</f>
        <v>0</v>
      </c>
      <c r="B236" s="12">
        <f>IF(Incidencias!E161="Mejora",0,MONTH(Incidencias!C161))</f>
        <v>1</v>
      </c>
      <c r="C236" s="12">
        <f>IF(Incidencias!M161="Entregada",MONTH(Incidencias!N161),0)</f>
        <v>0</v>
      </c>
      <c r="D236" s="16">
        <f>IF(Incidencias!M161="Cerrada",MONTH(Incidencias!O161),0)</f>
        <v>0</v>
      </c>
      <c r="E236" s="14"/>
      <c r="O236" s="14"/>
      <c r="P236" s="16">
        <f>Incidencias!B161</f>
        <v>0</v>
      </c>
      <c r="Q236" s="12">
        <f>IF(Incidencias!E161="MEJORA",0,WEEKNUM(Incidencias!C161))</f>
        <v>0</v>
      </c>
      <c r="R236" s="16">
        <f>WEEKNUM(Incidencias!N161)</f>
        <v>0</v>
      </c>
    </row>
    <row r="237" spans="1:18" x14ac:dyDescent="0.25">
      <c r="A237" s="16">
        <f>Incidencias!B162</f>
        <v>0</v>
      </c>
      <c r="B237" s="12">
        <f>IF(Incidencias!E162="Mejora",0,MONTH(Incidencias!C162))</f>
        <v>1</v>
      </c>
      <c r="C237" s="12">
        <f>IF(Incidencias!M162="Entregada",MONTH(Incidencias!N162),0)</f>
        <v>0</v>
      </c>
      <c r="D237" s="16">
        <f>IF(Incidencias!M162="Cerrada",MONTH(Incidencias!O162),0)</f>
        <v>0</v>
      </c>
      <c r="E237" s="14"/>
      <c r="O237" s="14"/>
      <c r="P237" s="16">
        <f>Incidencias!B162</f>
        <v>0</v>
      </c>
      <c r="Q237" s="12">
        <f>IF(Incidencias!E162="MEJORA",0,WEEKNUM(Incidencias!C162))</f>
        <v>0</v>
      </c>
      <c r="R237" s="16">
        <f>WEEKNUM(Incidencias!N162)</f>
        <v>0</v>
      </c>
    </row>
    <row r="238" spans="1:18" x14ac:dyDescent="0.25">
      <c r="A238" s="16">
        <f>Incidencias!B84</f>
        <v>0</v>
      </c>
      <c r="B238" s="12">
        <f>IF(Incidencias!E84="Mejora",0,MONTH(Incidencias!C84))</f>
        <v>1</v>
      </c>
      <c r="C238" s="12">
        <f>IF(Incidencias!M84="Entregada",MONTH(Incidencias!N84),0)</f>
        <v>0</v>
      </c>
      <c r="D238" s="16">
        <f>IF(Incidencias!M84="Cerrada",MONTH(Incidencias!O84),0)</f>
        <v>0</v>
      </c>
      <c r="E238" s="14"/>
      <c r="O238" s="14"/>
      <c r="P238" s="16">
        <f>Incidencias!B84</f>
        <v>0</v>
      </c>
      <c r="Q238" s="12">
        <f>IF(Incidencias!E84="MEJORA",0,WEEKNUM(Incidencias!C84))</f>
        <v>0</v>
      </c>
      <c r="R238" s="16">
        <f>WEEKNUM(Incidencias!N84)</f>
        <v>0</v>
      </c>
    </row>
    <row r="239" spans="1:18" x14ac:dyDescent="0.25">
      <c r="A239" s="16">
        <f>Incidencias!B85</f>
        <v>0</v>
      </c>
      <c r="B239" s="12">
        <f>IF(Incidencias!E85="Mejora",0,MONTH(Incidencias!C85))</f>
        <v>1</v>
      </c>
      <c r="C239" s="12">
        <f>IF(Incidencias!M85="Entregada",MONTH(Incidencias!N85),0)</f>
        <v>0</v>
      </c>
      <c r="D239" s="16">
        <f>IF(Incidencias!M85="Cerrada",MONTH(Incidencias!O85),0)</f>
        <v>0</v>
      </c>
      <c r="E239" s="14"/>
      <c r="O239" s="14"/>
      <c r="P239" s="16">
        <f>Incidencias!B85</f>
        <v>0</v>
      </c>
      <c r="Q239" s="12">
        <f>IF(Incidencias!E85="MEJORA",0,WEEKNUM(Incidencias!C85))</f>
        <v>0</v>
      </c>
      <c r="R239" s="16">
        <f>WEEKNUM(Incidencias!N85)</f>
        <v>0</v>
      </c>
    </row>
    <row r="240" spans="1:18" x14ac:dyDescent="0.25">
      <c r="A240" s="16">
        <f>Incidencias!B86</f>
        <v>0</v>
      </c>
      <c r="B240" s="12">
        <f>IF(Incidencias!E86="Mejora",0,MONTH(Incidencias!C86))</f>
        <v>1</v>
      </c>
      <c r="C240" s="12">
        <f>IF(Incidencias!M86="Entregada",MONTH(Incidencias!N86),0)</f>
        <v>0</v>
      </c>
      <c r="D240" s="16">
        <f>IF(Incidencias!M86="Cerrada",MONTH(Incidencias!O86),0)</f>
        <v>0</v>
      </c>
      <c r="E240" s="14"/>
      <c r="O240" s="14"/>
      <c r="P240" s="16">
        <f>Incidencias!B86</f>
        <v>0</v>
      </c>
      <c r="Q240" s="12">
        <f>IF(Incidencias!E86="MEJORA",0,WEEKNUM(Incidencias!C86))</f>
        <v>0</v>
      </c>
      <c r="R240" s="16">
        <f>WEEKNUM(Incidencias!N86)</f>
        <v>0</v>
      </c>
    </row>
    <row r="241" spans="1:18" x14ac:dyDescent="0.25">
      <c r="A241" s="16">
        <f>Incidencias!B87</f>
        <v>0</v>
      </c>
      <c r="B241" s="12">
        <f>IF(Incidencias!E87="Mejora",0,MONTH(Incidencias!C87))</f>
        <v>1</v>
      </c>
      <c r="C241" s="12">
        <f>IF(Incidencias!M87="Entregada",MONTH(Incidencias!N87),0)</f>
        <v>0</v>
      </c>
      <c r="D241" s="16">
        <f>IF(Incidencias!M87="Cerrada",MONTH(Incidencias!O87),0)</f>
        <v>0</v>
      </c>
      <c r="E241" s="14"/>
      <c r="O241" s="14"/>
      <c r="P241" s="16">
        <f>Incidencias!B87</f>
        <v>0</v>
      </c>
      <c r="Q241" s="12">
        <f>IF(Incidencias!E87="MEJORA",0,WEEKNUM(Incidencias!C87))</f>
        <v>0</v>
      </c>
      <c r="R241" s="16">
        <f>WEEKNUM(Incidencias!N87)</f>
        <v>0</v>
      </c>
    </row>
    <row r="242" spans="1:18" x14ac:dyDescent="0.25">
      <c r="A242" s="16">
        <f>Incidencias!B88</f>
        <v>0</v>
      </c>
      <c r="B242" s="12">
        <f>IF(Incidencias!E88="Mejora",0,MONTH(Incidencias!C88))</f>
        <v>1</v>
      </c>
      <c r="C242" s="12">
        <f>IF(Incidencias!M88="Entregada",MONTH(Incidencias!N88),0)</f>
        <v>0</v>
      </c>
      <c r="D242" s="16">
        <f>IF(Incidencias!M88="Cerrada",MONTH(Incidencias!O88),0)</f>
        <v>0</v>
      </c>
      <c r="E242" s="14"/>
      <c r="O242" s="14"/>
      <c r="P242" s="16">
        <f>Incidencias!B88</f>
        <v>0</v>
      </c>
      <c r="Q242" s="12">
        <f>IF(Incidencias!E88="MEJORA",0,WEEKNUM(Incidencias!C88))</f>
        <v>0</v>
      </c>
      <c r="R242" s="16">
        <f>WEEKNUM(Incidencias!N88)</f>
        <v>0</v>
      </c>
    </row>
    <row r="243" spans="1:18" x14ac:dyDescent="0.25">
      <c r="A243" s="16">
        <f>Incidencias!B163</f>
        <v>0</v>
      </c>
      <c r="B243" s="12">
        <f>IF(Incidencias!E163="Mejora",0,MONTH(Incidencias!C163))</f>
        <v>1</v>
      </c>
      <c r="C243" s="12">
        <f>IF(Incidencias!M163="Entregada",MONTH(Incidencias!N163),0)</f>
        <v>0</v>
      </c>
      <c r="D243" s="16">
        <f>IF(Incidencias!M163="Cerrada",MONTH(Incidencias!O163),0)</f>
        <v>0</v>
      </c>
      <c r="E243" s="14"/>
      <c r="O243" s="14"/>
      <c r="P243" s="16">
        <f>Incidencias!B163</f>
        <v>0</v>
      </c>
      <c r="Q243" s="12">
        <f>IF(Incidencias!E163="MEJORA",0,WEEKNUM(Incidencias!C163))</f>
        <v>0</v>
      </c>
      <c r="R243" s="16">
        <f>WEEKNUM(Incidencias!N163)</f>
        <v>0</v>
      </c>
    </row>
    <row r="244" spans="1:18" x14ac:dyDescent="0.25">
      <c r="A244" s="16">
        <f>Incidencias!B164</f>
        <v>0</v>
      </c>
      <c r="B244" s="12">
        <f>IF(Incidencias!E164="Mejora",0,MONTH(Incidencias!C164))</f>
        <v>1</v>
      </c>
      <c r="C244" s="12">
        <f>IF(Incidencias!M164="Entregada",MONTH(Incidencias!N164),0)</f>
        <v>0</v>
      </c>
      <c r="D244" s="16">
        <f>IF(Incidencias!M164="Cerrada",MONTH(Incidencias!O164),0)</f>
        <v>0</v>
      </c>
      <c r="E244" s="14"/>
      <c r="O244" s="14"/>
      <c r="P244" s="16">
        <f>Incidencias!B164</f>
        <v>0</v>
      </c>
      <c r="Q244" s="12">
        <f>IF(Incidencias!E164="MEJORA",0,WEEKNUM(Incidencias!C164))</f>
        <v>0</v>
      </c>
      <c r="R244" s="16">
        <f>WEEKNUM(Incidencias!N164)</f>
        <v>0</v>
      </c>
    </row>
    <row r="245" spans="1:18" x14ac:dyDescent="0.25">
      <c r="A245" s="16">
        <f>Incidencias!B166</f>
        <v>0</v>
      </c>
      <c r="B245" s="12">
        <f>IF(Incidencias!E166="Mejora",0,MONTH(Incidencias!C166))</f>
        <v>1</v>
      </c>
      <c r="C245" s="12">
        <f>IF(Incidencias!M166="Entregada",MONTH(Incidencias!N166),0)</f>
        <v>0</v>
      </c>
      <c r="D245" s="16">
        <f>IF(Incidencias!M166="Cerrada",MONTH(Incidencias!O166),0)</f>
        <v>0</v>
      </c>
      <c r="E245" s="14"/>
      <c r="O245" s="14"/>
      <c r="P245" s="16">
        <f>Incidencias!B166</f>
        <v>0</v>
      </c>
      <c r="Q245" s="12">
        <f>IF(Incidencias!E166="MEJORA",0,WEEKNUM(Incidencias!C166))</f>
        <v>0</v>
      </c>
      <c r="R245" s="16">
        <f>WEEKNUM(Incidencias!N166)</f>
        <v>0</v>
      </c>
    </row>
    <row r="246" spans="1:18" x14ac:dyDescent="0.25">
      <c r="A246" s="16">
        <f>Incidencias!B167</f>
        <v>0</v>
      </c>
      <c r="B246" s="12">
        <f>IF(Incidencias!E167="Mejora",0,MONTH(Incidencias!C167))</f>
        <v>1</v>
      </c>
      <c r="C246" s="12">
        <f>IF(Incidencias!M167="Entregada",MONTH(Incidencias!N167),0)</f>
        <v>0</v>
      </c>
      <c r="D246" s="16">
        <f>IF(Incidencias!M167="Cerrada",MONTH(Incidencias!O167),0)</f>
        <v>0</v>
      </c>
      <c r="E246" s="14"/>
      <c r="O246" s="14"/>
      <c r="P246" s="16">
        <f>Incidencias!B167</f>
        <v>0</v>
      </c>
      <c r="Q246" s="12">
        <f>IF(Incidencias!E167="MEJORA",0,WEEKNUM(Incidencias!C167))</f>
        <v>0</v>
      </c>
      <c r="R246" s="16">
        <f>WEEKNUM(Incidencias!N167)</f>
        <v>0</v>
      </c>
    </row>
    <row r="247" spans="1:18" x14ac:dyDescent="0.25">
      <c r="A247" s="16">
        <f>Incidencias!B168</f>
        <v>0</v>
      </c>
      <c r="B247" s="12">
        <f>IF(Incidencias!E168="Mejora",0,MONTH(Incidencias!C168))</f>
        <v>1</v>
      </c>
      <c r="C247" s="12">
        <f>IF(Incidencias!M168="Entregada",MONTH(Incidencias!N168),0)</f>
        <v>0</v>
      </c>
      <c r="D247" s="16">
        <f>IF(Incidencias!M168="Cerrada",MONTH(Incidencias!O168),0)</f>
        <v>0</v>
      </c>
      <c r="E247" s="14"/>
      <c r="O247" s="14"/>
      <c r="P247" s="16">
        <f>Incidencias!B168</f>
        <v>0</v>
      </c>
      <c r="Q247" s="12">
        <f>IF(Incidencias!E168="MEJORA",0,WEEKNUM(Incidencias!C168))</f>
        <v>0</v>
      </c>
      <c r="R247" s="16">
        <f>WEEKNUM(Incidencias!N168)</f>
        <v>0</v>
      </c>
    </row>
    <row r="248" spans="1:18" x14ac:dyDescent="0.25">
      <c r="A248" s="16">
        <f>Incidencias!B169</f>
        <v>0</v>
      </c>
      <c r="B248" s="12">
        <f>IF(Incidencias!E169="Mejora",0,MONTH(Incidencias!C169))</f>
        <v>1</v>
      </c>
      <c r="C248" s="12">
        <f>IF(Incidencias!M169="Entregada",MONTH(Incidencias!N169),0)</f>
        <v>0</v>
      </c>
      <c r="D248" s="16">
        <f>IF(Incidencias!M169="Cerrada",MONTH(Incidencias!O169),0)</f>
        <v>0</v>
      </c>
      <c r="E248" s="14"/>
      <c r="O248" s="14"/>
      <c r="P248" s="16">
        <f>Incidencias!B169</f>
        <v>0</v>
      </c>
      <c r="Q248" s="12">
        <f>IF(Incidencias!E169="MEJORA",0,WEEKNUM(Incidencias!C169))</f>
        <v>0</v>
      </c>
      <c r="R248" s="16">
        <f>WEEKNUM(Incidencias!N169)</f>
        <v>0</v>
      </c>
    </row>
    <row r="249" spans="1:18" x14ac:dyDescent="0.25">
      <c r="A249" s="16">
        <f>Incidencias!B170</f>
        <v>0</v>
      </c>
      <c r="B249" s="12">
        <f>IF(Incidencias!E170="Mejora",0,MONTH(Incidencias!C170))</f>
        <v>1</v>
      </c>
      <c r="C249" s="12">
        <f>IF(Incidencias!M170="Entregada",MONTH(Incidencias!N170),0)</f>
        <v>0</v>
      </c>
      <c r="D249" s="16">
        <f>IF(Incidencias!M170="Cerrada",MONTH(Incidencias!O170),0)</f>
        <v>0</v>
      </c>
      <c r="E249" s="14"/>
      <c r="O249" s="14"/>
      <c r="P249" s="16">
        <f>Incidencias!B170</f>
        <v>0</v>
      </c>
      <c r="Q249" s="12">
        <f>IF(Incidencias!E170="MEJORA",0,WEEKNUM(Incidencias!C170))</f>
        <v>0</v>
      </c>
      <c r="R249" s="16">
        <f>WEEKNUM(Incidencias!N170)</f>
        <v>0</v>
      </c>
    </row>
    <row r="250" spans="1:18" x14ac:dyDescent="0.25">
      <c r="A250" s="16">
        <f>Incidencias!B181</f>
        <v>0</v>
      </c>
      <c r="B250" s="12">
        <f>IF(Incidencias!E181="Mejora",0,MONTH(Incidencias!C181))</f>
        <v>1</v>
      </c>
      <c r="C250" s="12">
        <f>IF(Incidencias!M181="Entregada",MONTH(Incidencias!N181),0)</f>
        <v>0</v>
      </c>
      <c r="D250" s="16">
        <f>IF(Incidencias!M181="Cerrada",MONTH(Incidencias!O181),0)</f>
        <v>0</v>
      </c>
      <c r="E250" s="14"/>
      <c r="O250" s="14"/>
      <c r="P250" s="16">
        <f>Incidencias!B171</f>
        <v>0</v>
      </c>
      <c r="Q250" s="12">
        <f>IF(Incidencias!E171="MEJORA",0,WEEKNUM(Incidencias!C171))</f>
        <v>0</v>
      </c>
      <c r="R250" s="16">
        <f>WEEKNUM(Incidencias!N171)</f>
        <v>0</v>
      </c>
    </row>
    <row r="251" spans="1:18" x14ac:dyDescent="0.25">
      <c r="A251" s="16">
        <f>Incidencias!B182</f>
        <v>0</v>
      </c>
      <c r="B251" s="12">
        <f>IF(Incidencias!E182="Mejora",0,MONTH(Incidencias!C182))</f>
        <v>1</v>
      </c>
      <c r="C251" s="12">
        <f>IF(Incidencias!M182="Entregada",MONTH(Incidencias!N182),0)</f>
        <v>0</v>
      </c>
      <c r="D251" s="16">
        <f>IF(Incidencias!M182="Cerrada",MONTH(Incidencias!O182),0)</f>
        <v>0</v>
      </c>
      <c r="E251" s="14"/>
      <c r="O251" s="14"/>
      <c r="P251" s="16">
        <f>Incidencias!B172</f>
        <v>0</v>
      </c>
      <c r="Q251" s="12">
        <f>IF(Incidencias!E172="MEJORA",0,WEEKNUM(Incidencias!C172))</f>
        <v>0</v>
      </c>
      <c r="R251" s="16">
        <f>WEEKNUM(Incidencias!N172)</f>
        <v>0</v>
      </c>
    </row>
    <row r="252" spans="1:18" x14ac:dyDescent="0.25">
      <c r="A252" s="16"/>
      <c r="B252" s="12"/>
      <c r="C252" s="12"/>
      <c r="D252" s="16"/>
      <c r="E252" s="14"/>
      <c r="O252" s="14"/>
      <c r="P252" s="16">
        <f>Incidencias!B173</f>
        <v>0</v>
      </c>
      <c r="Q252" s="12">
        <f>IF(Incidencias!E173="MEJORA",0,WEEKNUM(Incidencias!C173))</f>
        <v>0</v>
      </c>
      <c r="R252" s="16">
        <f>WEEKNUM(Incidencias!N173)</f>
        <v>0</v>
      </c>
    </row>
    <row r="253" spans="1:18" x14ac:dyDescent="0.25">
      <c r="A253" s="16"/>
      <c r="B253" s="12"/>
      <c r="C253" s="12"/>
      <c r="D253" s="16"/>
      <c r="E253" s="14"/>
      <c r="O253" s="14"/>
      <c r="P253" s="16">
        <f>Incidencias!B174</f>
        <v>0</v>
      </c>
      <c r="Q253" s="12">
        <f>IF(Incidencias!E174="MEJORA",0,WEEKNUM(Incidencias!C174))</f>
        <v>0</v>
      </c>
      <c r="R253" s="16">
        <f>WEEKNUM(Incidencias!N174)</f>
        <v>0</v>
      </c>
    </row>
    <row r="254" spans="1:18" x14ac:dyDescent="0.25">
      <c r="A254" s="16"/>
      <c r="B254" s="12"/>
      <c r="C254" s="12"/>
      <c r="D254" s="16"/>
      <c r="E254" s="14"/>
      <c r="O254" s="14"/>
      <c r="P254" s="16">
        <f>Incidencias!B175</f>
        <v>0</v>
      </c>
      <c r="Q254" s="12">
        <f>IF(Incidencias!E175="MEJORA",0,WEEKNUM(Incidencias!C175))</f>
        <v>0</v>
      </c>
      <c r="R254" s="16">
        <f>WEEKNUM(Incidencias!N175)</f>
        <v>0</v>
      </c>
    </row>
    <row r="255" spans="1:18" x14ac:dyDescent="0.25">
      <c r="A255" s="16"/>
      <c r="B255" s="12"/>
      <c r="C255" s="12"/>
      <c r="D255" s="16"/>
      <c r="E255" s="14"/>
      <c r="O255" s="14"/>
      <c r="P255" s="16">
        <f>Incidencias!B176</f>
        <v>0</v>
      </c>
      <c r="Q255" s="12">
        <f>IF(Incidencias!E176="MEJORA",0,WEEKNUM(Incidencias!C176))</f>
        <v>0</v>
      </c>
      <c r="R255" s="16">
        <f>WEEKNUM(Incidencias!N176)</f>
        <v>0</v>
      </c>
    </row>
    <row r="256" spans="1:18" x14ac:dyDescent="0.25">
      <c r="A256" s="16"/>
      <c r="B256" s="12"/>
      <c r="C256" s="12"/>
      <c r="D256" s="16"/>
      <c r="E256" s="14"/>
      <c r="O256" s="14"/>
      <c r="P256" s="16">
        <f>Incidencias!B177</f>
        <v>0</v>
      </c>
      <c r="Q256" s="12">
        <f>IF(Incidencias!E177="MEJORA",0,WEEKNUM(Incidencias!C177))</f>
        <v>0</v>
      </c>
      <c r="R256" s="16">
        <f>WEEKNUM(Incidencias!N177)</f>
        <v>0</v>
      </c>
    </row>
    <row r="257" spans="1:18" x14ac:dyDescent="0.25">
      <c r="A257" s="16"/>
      <c r="B257" s="12"/>
      <c r="C257" s="12"/>
      <c r="D257" s="16"/>
      <c r="E257" s="14"/>
      <c r="O257" s="14"/>
      <c r="P257" s="16">
        <f>Incidencias!B178</f>
        <v>0</v>
      </c>
      <c r="Q257" s="12">
        <f>IF(Incidencias!E178="MEJORA",0,WEEKNUM(Incidencias!C178))</f>
        <v>0</v>
      </c>
      <c r="R257" s="16">
        <f>WEEKNUM(Incidencias!N178)</f>
        <v>0</v>
      </c>
    </row>
    <row r="258" spans="1:18" x14ac:dyDescent="0.25">
      <c r="A258" s="16"/>
      <c r="B258" s="12"/>
      <c r="C258" s="12"/>
      <c r="D258" s="16"/>
      <c r="E258" s="14"/>
      <c r="O258" s="14"/>
      <c r="P258" s="16">
        <f>Incidencias!B179</f>
        <v>0</v>
      </c>
      <c r="Q258" s="12">
        <f>IF(Incidencias!E179="MEJORA",0,WEEKNUM(Incidencias!C179))</f>
        <v>0</v>
      </c>
      <c r="R258" s="16">
        <f>WEEKNUM(Incidencias!N179)</f>
        <v>0</v>
      </c>
    </row>
    <row r="259" spans="1:18" x14ac:dyDescent="0.25">
      <c r="A259" s="16"/>
      <c r="B259" s="12"/>
      <c r="C259" s="12"/>
      <c r="D259" s="16"/>
      <c r="E259" s="14"/>
      <c r="O259" s="14"/>
      <c r="P259" s="16">
        <f>Incidencias!B180</f>
        <v>0</v>
      </c>
      <c r="Q259" s="12">
        <f>IF(Incidencias!E180="MEJORA",0,WEEKNUM(Incidencias!C180))</f>
        <v>0</v>
      </c>
      <c r="R259" s="16">
        <f>WEEKNUM(Incidencias!N180)</f>
        <v>0</v>
      </c>
    </row>
    <row r="260" spans="1:18" x14ac:dyDescent="0.25">
      <c r="A260" s="16"/>
      <c r="B260" s="12"/>
      <c r="C260" s="12"/>
      <c r="D260" s="16"/>
      <c r="E260" s="14"/>
      <c r="O260" s="14"/>
      <c r="P260" s="16">
        <f>Incidencias!B181</f>
        <v>0</v>
      </c>
      <c r="Q260" s="12">
        <f>IF(Incidencias!E181="MEJORA",0,WEEKNUM(Incidencias!C181))</f>
        <v>0</v>
      </c>
      <c r="R260" s="16">
        <f>WEEKNUM(Incidencias!N181)</f>
        <v>0</v>
      </c>
    </row>
    <row r="261" spans="1:18" x14ac:dyDescent="0.25">
      <c r="A261" s="16"/>
      <c r="B261" s="12"/>
      <c r="C261" s="12"/>
      <c r="D261" s="16"/>
      <c r="P261" s="16">
        <f>Incidencias!B182</f>
        <v>0</v>
      </c>
      <c r="Q261" s="12">
        <f>IF(Incidencias!E182="MEJORA",0,WEEKNUM(Incidencias!C182))</f>
        <v>0</v>
      </c>
      <c r="R261" s="16">
        <f>WEEKNUM(Incidencias!N182)</f>
        <v>0</v>
      </c>
    </row>
    <row r="262" spans="1:18" x14ac:dyDescent="0.25">
      <c r="A262" s="16"/>
      <c r="B262" s="12"/>
      <c r="C262" s="12"/>
      <c r="D262" s="16"/>
      <c r="P262" s="16"/>
      <c r="Q262" s="12"/>
      <c r="R262" s="16"/>
    </row>
    <row r="263" spans="1:18" x14ac:dyDescent="0.25">
      <c r="A263" s="16"/>
      <c r="B263" s="12"/>
      <c r="C263" s="12"/>
      <c r="D263" s="16"/>
      <c r="P263" s="16"/>
      <c r="Q263" s="12"/>
      <c r="R263" s="16"/>
    </row>
    <row r="264" spans="1:18" x14ac:dyDescent="0.25">
      <c r="A264" s="16"/>
      <c r="B264" s="12"/>
      <c r="C264" s="12"/>
      <c r="D264" s="16"/>
      <c r="P264" s="16"/>
      <c r="Q264" s="12"/>
      <c r="R264" s="16"/>
    </row>
    <row r="265" spans="1:18" x14ac:dyDescent="0.25">
      <c r="A265" s="16"/>
      <c r="B265" s="12"/>
      <c r="C265" s="12"/>
      <c r="D265" s="16"/>
      <c r="P265" s="16"/>
      <c r="Q265" s="12"/>
      <c r="R265" s="16"/>
    </row>
    <row r="266" spans="1:18" x14ac:dyDescent="0.25">
      <c r="A266" s="16"/>
      <c r="B266" s="12"/>
      <c r="C266" s="12"/>
      <c r="D266" s="16"/>
      <c r="P266" s="16"/>
      <c r="Q266" s="12"/>
      <c r="R266" s="16"/>
    </row>
    <row r="267" spans="1:18" x14ac:dyDescent="0.25">
      <c r="A267" s="16"/>
      <c r="B267" s="12"/>
      <c r="C267" s="12"/>
      <c r="D267" s="16"/>
      <c r="P267" s="16"/>
      <c r="Q267" s="12"/>
      <c r="R267" s="16"/>
    </row>
    <row r="268" spans="1:18" x14ac:dyDescent="0.25">
      <c r="A268" s="16"/>
      <c r="B268" s="12"/>
      <c r="C268" s="12"/>
      <c r="D268" s="16"/>
      <c r="P268" s="16"/>
      <c r="Q268" s="12"/>
      <c r="R268" s="16"/>
    </row>
    <row r="269" spans="1:18" x14ac:dyDescent="0.25">
      <c r="A269" s="16"/>
      <c r="B269" s="12"/>
      <c r="C269" s="12"/>
      <c r="D269" s="16"/>
      <c r="P269" s="16"/>
      <c r="Q269" s="12"/>
      <c r="R269" s="16"/>
    </row>
    <row r="270" spans="1:18" x14ac:dyDescent="0.25">
      <c r="A270" s="16"/>
      <c r="B270" s="12"/>
      <c r="C270" s="12"/>
      <c r="D270" s="16"/>
      <c r="P270" s="16"/>
      <c r="Q270" s="12"/>
      <c r="R270" s="16"/>
    </row>
    <row r="271" spans="1:18" x14ac:dyDescent="0.25">
      <c r="A271" s="16"/>
      <c r="B271" s="12"/>
      <c r="C271" s="12"/>
      <c r="D271" s="16"/>
      <c r="P271" s="16"/>
      <c r="Q271" s="12"/>
      <c r="R271" s="16"/>
    </row>
    <row r="272" spans="1:18" x14ac:dyDescent="0.25">
      <c r="A272" s="16"/>
      <c r="B272" s="12"/>
      <c r="C272" s="12"/>
      <c r="D272" s="16"/>
      <c r="P272" s="16"/>
      <c r="Q272" s="12"/>
      <c r="R272" s="16"/>
    </row>
    <row r="273" spans="1:18" x14ac:dyDescent="0.25">
      <c r="A273" s="16"/>
      <c r="B273" s="12"/>
      <c r="C273" s="12"/>
      <c r="D273" s="16"/>
      <c r="P273" s="16"/>
      <c r="Q273" s="12"/>
      <c r="R273" s="16"/>
    </row>
    <row r="274" spans="1:18" x14ac:dyDescent="0.25">
      <c r="A274" s="16"/>
      <c r="B274" s="12"/>
      <c r="C274" s="12"/>
      <c r="D274" s="16"/>
      <c r="P274" s="16"/>
      <c r="Q274" s="12"/>
      <c r="R274" s="16"/>
    </row>
    <row r="275" spans="1:18" x14ac:dyDescent="0.25">
      <c r="A275" s="16"/>
      <c r="B275" s="12"/>
      <c r="C275" s="12"/>
      <c r="D275" s="16"/>
      <c r="P275" s="16"/>
      <c r="Q275" s="12"/>
      <c r="R275" s="16"/>
    </row>
    <row r="276" spans="1:18" x14ac:dyDescent="0.25">
      <c r="A276" s="16"/>
      <c r="B276" s="12"/>
      <c r="C276" s="12"/>
      <c r="D276" s="16"/>
      <c r="P276" s="16"/>
      <c r="Q276" s="12"/>
      <c r="R276" s="16"/>
    </row>
    <row r="277" spans="1:18" x14ac:dyDescent="0.25">
      <c r="A277" s="16"/>
      <c r="B277" s="12"/>
      <c r="C277" s="12"/>
      <c r="D277" s="16"/>
      <c r="P277" s="16"/>
      <c r="Q277" s="12"/>
      <c r="R277" s="16"/>
    </row>
    <row r="278" spans="1:18" x14ac:dyDescent="0.25">
      <c r="A278" s="16"/>
      <c r="B278" s="12"/>
      <c r="C278" s="12"/>
      <c r="D278" s="16"/>
      <c r="P278" s="16"/>
      <c r="Q278" s="12"/>
      <c r="R278" s="16"/>
    </row>
    <row r="279" spans="1:18" x14ac:dyDescent="0.25">
      <c r="A279" s="16"/>
      <c r="B279" s="12"/>
      <c r="C279" s="12"/>
      <c r="D279" s="16"/>
      <c r="P279" s="16"/>
      <c r="Q279" s="12"/>
      <c r="R279" s="16"/>
    </row>
    <row r="280" spans="1:18" x14ac:dyDescent="0.25">
      <c r="A280" s="16"/>
      <c r="B280" s="12"/>
      <c r="C280" s="12"/>
      <c r="D280" s="16"/>
      <c r="P280" s="16"/>
      <c r="Q280" s="12"/>
      <c r="R280" s="16"/>
    </row>
    <row r="281" spans="1:18" x14ac:dyDescent="0.25">
      <c r="A281" s="16"/>
      <c r="B281" s="12"/>
      <c r="C281" s="12"/>
      <c r="D281" s="16"/>
      <c r="P281" s="16"/>
      <c r="Q281" s="12"/>
      <c r="R281" s="16"/>
    </row>
    <row r="282" spans="1:18" x14ac:dyDescent="0.25">
      <c r="A282" s="16"/>
      <c r="B282" s="12"/>
      <c r="C282" s="12"/>
      <c r="D282" s="16"/>
      <c r="P282" s="16"/>
      <c r="Q282" s="12"/>
      <c r="R282" s="16"/>
    </row>
    <row r="283" spans="1:18" x14ac:dyDescent="0.25">
      <c r="A283" s="16"/>
      <c r="B283" s="12"/>
      <c r="C283" s="12"/>
      <c r="D283" s="16"/>
      <c r="P283" s="16"/>
      <c r="Q283" s="12"/>
      <c r="R283" s="16"/>
    </row>
    <row r="284" spans="1:18" x14ac:dyDescent="0.25">
      <c r="A284" s="16"/>
      <c r="B284" s="12"/>
      <c r="C284" s="12"/>
      <c r="D284" s="16"/>
      <c r="P284" s="16"/>
      <c r="Q284" s="12"/>
      <c r="R284" s="16"/>
    </row>
    <row r="285" spans="1:18" x14ac:dyDescent="0.25">
      <c r="A285" s="16"/>
      <c r="B285" s="12"/>
      <c r="C285" s="12"/>
      <c r="D285" s="16"/>
      <c r="P285" s="16"/>
      <c r="Q285" s="12"/>
      <c r="R285" s="16"/>
    </row>
    <row r="286" spans="1:18" x14ac:dyDescent="0.25">
      <c r="A286" s="16"/>
      <c r="B286" s="12"/>
      <c r="C286" s="12"/>
      <c r="D286" s="16"/>
      <c r="P286" s="16"/>
      <c r="Q286" s="12"/>
      <c r="R286" s="16"/>
    </row>
    <row r="287" spans="1:18" x14ac:dyDescent="0.25">
      <c r="A287" s="16"/>
      <c r="B287" s="12"/>
      <c r="C287" s="12"/>
      <c r="D287" s="16"/>
      <c r="P287" s="16"/>
      <c r="Q287" s="12"/>
      <c r="R287" s="16"/>
    </row>
    <row r="288" spans="1:18" x14ac:dyDescent="0.25">
      <c r="A288" s="16"/>
      <c r="B288" s="12"/>
      <c r="C288" s="12"/>
      <c r="D288" s="16"/>
      <c r="P288" s="16"/>
      <c r="Q288" s="12"/>
      <c r="R288" s="16"/>
    </row>
    <row r="289" spans="1:18" x14ac:dyDescent="0.25">
      <c r="A289" s="16"/>
      <c r="B289" s="12"/>
      <c r="C289" s="12"/>
      <c r="D289" s="16"/>
      <c r="P289" s="16"/>
      <c r="Q289" s="12"/>
      <c r="R289" s="16"/>
    </row>
    <row r="290" spans="1:18" x14ac:dyDescent="0.25">
      <c r="A290" s="16"/>
      <c r="B290" s="12"/>
      <c r="C290" s="12"/>
      <c r="D290" s="16"/>
      <c r="P290" s="16"/>
      <c r="Q290" s="12"/>
      <c r="R290" s="16"/>
    </row>
    <row r="291" spans="1:18" x14ac:dyDescent="0.25">
      <c r="A291" s="16"/>
      <c r="B291" s="12"/>
      <c r="C291" s="12"/>
      <c r="D291" s="16"/>
      <c r="P291" s="16"/>
      <c r="Q291" s="12"/>
      <c r="R291" s="16"/>
    </row>
    <row r="292" spans="1:18" x14ac:dyDescent="0.25">
      <c r="A292" s="16"/>
      <c r="B292" s="12"/>
      <c r="C292" s="12"/>
      <c r="D292" s="16"/>
      <c r="P292" s="16"/>
      <c r="Q292" s="12"/>
      <c r="R292" s="16"/>
    </row>
    <row r="293" spans="1:18" x14ac:dyDescent="0.25">
      <c r="A293" s="16"/>
      <c r="B293" s="12"/>
      <c r="C293" s="12"/>
      <c r="D293" s="16"/>
      <c r="P293" s="16"/>
      <c r="Q293" s="12"/>
      <c r="R293" s="16"/>
    </row>
    <row r="294" spans="1:18" x14ac:dyDescent="0.25">
      <c r="A294" s="16"/>
      <c r="B294" s="12"/>
      <c r="C294" s="12"/>
      <c r="D294" s="16"/>
      <c r="P294" s="16"/>
      <c r="Q294" s="12"/>
      <c r="R294" s="16"/>
    </row>
    <row r="295" spans="1:18" x14ac:dyDescent="0.25">
      <c r="A295" s="16"/>
      <c r="B295" s="12"/>
      <c r="C295" s="12"/>
      <c r="D295" s="16"/>
      <c r="P295" s="16"/>
      <c r="Q295" s="12"/>
      <c r="R295" s="16"/>
    </row>
    <row r="296" spans="1:18" x14ac:dyDescent="0.25">
      <c r="A296" s="16"/>
      <c r="B296" s="12"/>
      <c r="C296" s="12"/>
      <c r="D296" s="16"/>
      <c r="P296" s="16"/>
      <c r="Q296" s="12"/>
      <c r="R296" s="16"/>
    </row>
    <row r="297" spans="1:18" x14ac:dyDescent="0.25">
      <c r="A297" s="16"/>
      <c r="B297" s="12"/>
      <c r="C297" s="12"/>
      <c r="D297" s="16"/>
      <c r="P297" s="16"/>
      <c r="Q297" s="12"/>
      <c r="R297" s="16"/>
    </row>
    <row r="298" spans="1:18" x14ac:dyDescent="0.25">
      <c r="A298" s="16"/>
      <c r="B298" s="12"/>
      <c r="C298" s="12"/>
      <c r="D298" s="16"/>
      <c r="P298" s="16"/>
      <c r="Q298" s="12"/>
      <c r="R298" s="16"/>
    </row>
    <row r="299" spans="1:18" x14ac:dyDescent="0.25">
      <c r="A299" s="16"/>
      <c r="B299" s="12"/>
      <c r="C299" s="12"/>
      <c r="D299" s="16"/>
      <c r="P299" s="16"/>
      <c r="Q299" s="12"/>
      <c r="R299" s="16"/>
    </row>
    <row r="300" spans="1:18" x14ac:dyDescent="0.25">
      <c r="A300" s="16"/>
      <c r="B300" s="12"/>
      <c r="C300" s="12"/>
      <c r="D300" s="16"/>
      <c r="P300" s="16"/>
      <c r="Q300" s="12"/>
      <c r="R300" s="16"/>
    </row>
    <row r="301" spans="1:18" x14ac:dyDescent="0.25">
      <c r="A301" s="16"/>
      <c r="B301" s="12"/>
      <c r="C301" s="12"/>
      <c r="D301" s="16"/>
      <c r="P301" s="16"/>
      <c r="Q301" s="12"/>
      <c r="R301" s="16"/>
    </row>
    <row r="302" spans="1:18" x14ac:dyDescent="0.25">
      <c r="A302" s="16"/>
      <c r="B302" s="12"/>
      <c r="C302" s="12"/>
      <c r="D302" s="16"/>
      <c r="P302" s="16"/>
      <c r="Q302" s="12"/>
      <c r="R302" s="16"/>
    </row>
    <row r="303" spans="1:18" x14ac:dyDescent="0.25">
      <c r="A303" s="16"/>
      <c r="B303" s="12"/>
      <c r="C303" s="12"/>
      <c r="D303" s="16"/>
      <c r="P303" s="16"/>
      <c r="Q303" s="12"/>
      <c r="R303" s="16"/>
    </row>
    <row r="304" spans="1:18" x14ac:dyDescent="0.25">
      <c r="A304" s="16"/>
      <c r="B304" s="12"/>
      <c r="C304" s="12"/>
      <c r="D304" s="16"/>
      <c r="P304" s="16"/>
      <c r="Q304" s="12"/>
      <c r="R304" s="16"/>
    </row>
    <row r="305" spans="1:18" x14ac:dyDescent="0.25">
      <c r="A305" s="16"/>
      <c r="B305" s="12"/>
      <c r="C305" s="12"/>
      <c r="D305" s="16"/>
      <c r="P305" s="16"/>
      <c r="Q305" s="12"/>
      <c r="R305" s="16"/>
    </row>
    <row r="306" spans="1:18" x14ac:dyDescent="0.25">
      <c r="A306" s="16"/>
      <c r="B306" s="12"/>
      <c r="C306" s="12"/>
      <c r="D306" s="16"/>
      <c r="P306" s="16"/>
      <c r="Q306" s="12"/>
      <c r="R306" s="16"/>
    </row>
    <row r="307" spans="1:18" x14ac:dyDescent="0.25">
      <c r="A307" s="16"/>
      <c r="B307" s="12"/>
      <c r="C307" s="12"/>
      <c r="D307" s="16"/>
      <c r="P307" s="16"/>
      <c r="Q307" s="12"/>
      <c r="R307" s="16"/>
    </row>
    <row r="308" spans="1:18" x14ac:dyDescent="0.25">
      <c r="A308" s="16"/>
      <c r="B308" s="12"/>
      <c r="C308" s="12"/>
      <c r="D308" s="16"/>
      <c r="P308" s="16"/>
      <c r="Q308" s="12"/>
      <c r="R308" s="16"/>
    </row>
    <row r="309" spans="1:18" x14ac:dyDescent="0.25">
      <c r="A309" s="16"/>
      <c r="B309" s="12"/>
      <c r="C309" s="12"/>
      <c r="D309" s="16"/>
      <c r="P309" s="16"/>
      <c r="Q309" s="12"/>
      <c r="R309" s="16"/>
    </row>
    <row r="310" spans="1:18" x14ac:dyDescent="0.25">
      <c r="A310" s="16"/>
      <c r="B310" s="12"/>
      <c r="C310" s="12"/>
      <c r="D310" s="16"/>
      <c r="P310" s="16"/>
      <c r="Q310" s="12"/>
      <c r="R310" s="16"/>
    </row>
    <row r="311" spans="1:18" x14ac:dyDescent="0.25">
      <c r="A311" s="16"/>
      <c r="B311" s="12"/>
      <c r="C311" s="12"/>
      <c r="D311" s="16"/>
      <c r="P311" s="16"/>
      <c r="Q311" s="12"/>
      <c r="R311" s="16"/>
    </row>
    <row r="312" spans="1:18" x14ac:dyDescent="0.25">
      <c r="A312" s="16"/>
      <c r="B312" s="12"/>
      <c r="C312" s="12"/>
      <c r="D312" s="16"/>
      <c r="P312" s="16"/>
      <c r="Q312" s="12"/>
      <c r="R312" s="16"/>
    </row>
    <row r="313" spans="1:18" x14ac:dyDescent="0.25">
      <c r="A313" s="16"/>
      <c r="B313" s="12"/>
      <c r="C313" s="12"/>
      <c r="D313" s="16"/>
      <c r="P313" s="16"/>
      <c r="Q313" s="12"/>
      <c r="R313" s="16"/>
    </row>
    <row r="314" spans="1:18" x14ac:dyDescent="0.25">
      <c r="A314" s="16"/>
      <c r="B314" s="12"/>
      <c r="C314" s="12"/>
      <c r="D314" s="16"/>
      <c r="P314" s="16"/>
      <c r="Q314" s="12"/>
      <c r="R314" s="16"/>
    </row>
    <row r="315" spans="1:18" x14ac:dyDescent="0.25">
      <c r="A315" s="16"/>
      <c r="B315" s="12"/>
      <c r="C315" s="12"/>
      <c r="D315" s="16"/>
      <c r="P315" s="16"/>
      <c r="Q315" s="12"/>
      <c r="R315" s="16"/>
    </row>
    <row r="316" spans="1:18" x14ac:dyDescent="0.25">
      <c r="A316" s="16"/>
      <c r="B316" s="12"/>
      <c r="C316" s="12"/>
      <c r="D316" s="16"/>
      <c r="P316" s="16"/>
      <c r="Q316" s="12"/>
      <c r="R316" s="16"/>
    </row>
    <row r="317" spans="1:18" x14ac:dyDescent="0.25">
      <c r="A317" s="16"/>
      <c r="B317" s="12"/>
      <c r="C317" s="12"/>
      <c r="D317" s="16"/>
      <c r="P317" s="16"/>
      <c r="Q317" s="12"/>
      <c r="R317" s="16"/>
    </row>
    <row r="318" spans="1:18" x14ac:dyDescent="0.25">
      <c r="A318" s="16"/>
      <c r="B318" s="12"/>
      <c r="C318" s="12"/>
      <c r="D318" s="16"/>
      <c r="P318" s="16"/>
      <c r="Q318" s="12"/>
      <c r="R318" s="16"/>
    </row>
    <row r="319" spans="1:18" x14ac:dyDescent="0.25">
      <c r="A319" s="16"/>
      <c r="B319" s="12"/>
      <c r="C319" s="12"/>
      <c r="D319" s="16"/>
      <c r="P319" s="16"/>
      <c r="Q319" s="12"/>
      <c r="R319" s="16"/>
    </row>
    <row r="320" spans="1:18" x14ac:dyDescent="0.25">
      <c r="A320" s="16"/>
      <c r="B320" s="12"/>
      <c r="C320" s="12"/>
      <c r="D320" s="16"/>
      <c r="P320" s="16"/>
      <c r="Q320" s="12"/>
      <c r="R320" s="16"/>
    </row>
    <row r="321" spans="1:18" x14ac:dyDescent="0.25">
      <c r="A321" s="16"/>
      <c r="B321" s="12"/>
      <c r="C321" s="12"/>
      <c r="D321" s="16"/>
      <c r="P321" s="16"/>
      <c r="Q321" s="12"/>
      <c r="R321" s="16"/>
    </row>
    <row r="322" spans="1:18" x14ac:dyDescent="0.25">
      <c r="A322" s="16"/>
      <c r="B322" s="12"/>
      <c r="C322" s="12"/>
      <c r="D322" s="16"/>
      <c r="P322" s="16"/>
      <c r="Q322" s="12"/>
      <c r="R322" s="16"/>
    </row>
    <row r="323" spans="1:18" x14ac:dyDescent="0.25">
      <c r="A323" s="16"/>
      <c r="B323" s="12"/>
      <c r="C323" s="12"/>
      <c r="D323" s="16"/>
      <c r="P323" s="16"/>
      <c r="Q323" s="12"/>
      <c r="R323" s="16"/>
    </row>
    <row r="324" spans="1:18" x14ac:dyDescent="0.25">
      <c r="A324" s="16"/>
      <c r="B324" s="12"/>
      <c r="C324" s="12"/>
      <c r="D324" s="16"/>
      <c r="P324" s="16"/>
      <c r="Q324" s="12"/>
      <c r="R324" s="16"/>
    </row>
    <row r="325" spans="1:18" x14ac:dyDescent="0.25">
      <c r="A325" s="16"/>
      <c r="B325" s="12"/>
      <c r="C325" s="12"/>
      <c r="D325" s="16"/>
      <c r="P325" s="16"/>
      <c r="Q325" s="12"/>
      <c r="R325" s="16"/>
    </row>
    <row r="326" spans="1:18" x14ac:dyDescent="0.25">
      <c r="A326" s="16"/>
      <c r="B326" s="12"/>
      <c r="C326" s="12"/>
      <c r="D326" s="16"/>
      <c r="P326" s="16"/>
      <c r="Q326" s="12"/>
      <c r="R326" s="16"/>
    </row>
    <row r="327" spans="1:18" x14ac:dyDescent="0.25">
      <c r="A327" s="16"/>
      <c r="B327" s="12"/>
      <c r="C327" s="12"/>
      <c r="D327" s="16"/>
      <c r="P327" s="16"/>
      <c r="Q327" s="12"/>
      <c r="R327" s="16"/>
    </row>
    <row r="328" spans="1:18" x14ac:dyDescent="0.25">
      <c r="A328" s="16"/>
      <c r="B328" s="12"/>
      <c r="C328" s="12"/>
      <c r="D328" s="16"/>
      <c r="P328" s="16"/>
      <c r="Q328" s="12"/>
      <c r="R328" s="16"/>
    </row>
    <row r="329" spans="1:18" x14ac:dyDescent="0.25">
      <c r="A329" s="16"/>
      <c r="B329" s="12"/>
      <c r="C329" s="12"/>
      <c r="D329" s="16"/>
      <c r="P329" s="16"/>
      <c r="Q329" s="12"/>
      <c r="R329" s="16"/>
    </row>
    <row r="330" spans="1:18" x14ac:dyDescent="0.25">
      <c r="A330" s="16"/>
      <c r="B330" s="12"/>
      <c r="C330" s="12"/>
      <c r="D330" s="16"/>
      <c r="P330" s="16"/>
      <c r="Q330" s="12"/>
      <c r="R330" s="16"/>
    </row>
    <row r="331" spans="1:18" x14ac:dyDescent="0.25">
      <c r="A331" s="16"/>
      <c r="B331" s="12"/>
      <c r="C331" s="12"/>
      <c r="D331" s="16"/>
      <c r="P331" s="16"/>
      <c r="Q331" s="12"/>
      <c r="R331" s="16"/>
    </row>
    <row r="332" spans="1:18" x14ac:dyDescent="0.25">
      <c r="A332" s="16"/>
      <c r="B332" s="12"/>
      <c r="C332" s="12"/>
      <c r="D332" s="16"/>
      <c r="P332" s="16"/>
      <c r="Q332" s="12"/>
      <c r="R332" s="16"/>
    </row>
    <row r="333" spans="1:18" x14ac:dyDescent="0.25">
      <c r="A333" s="16"/>
      <c r="B333" s="12"/>
      <c r="C333" s="12"/>
      <c r="D333" s="16"/>
      <c r="P333" s="16"/>
      <c r="Q333" s="12"/>
      <c r="R333" s="16"/>
    </row>
    <row r="334" spans="1:18" x14ac:dyDescent="0.25">
      <c r="A334" s="16"/>
      <c r="B334" s="12"/>
      <c r="C334" s="12"/>
      <c r="D334" s="16"/>
      <c r="P334" s="16"/>
      <c r="Q334" s="12"/>
      <c r="R334" s="16"/>
    </row>
    <row r="335" spans="1:18" x14ac:dyDescent="0.25">
      <c r="A335" s="16"/>
      <c r="B335" s="12"/>
      <c r="C335" s="12"/>
      <c r="D335" s="16"/>
      <c r="P335" s="16"/>
      <c r="Q335" s="12"/>
      <c r="R335" s="16"/>
    </row>
    <row r="336" spans="1:18" x14ac:dyDescent="0.25">
      <c r="A336" s="16"/>
      <c r="B336" s="12"/>
      <c r="C336" s="12"/>
      <c r="D336" s="16"/>
      <c r="P336" s="16"/>
      <c r="Q336" s="12"/>
      <c r="R336" s="16"/>
    </row>
    <row r="337" spans="16:18" x14ac:dyDescent="0.25">
      <c r="P337" s="16"/>
      <c r="Q337" s="12"/>
      <c r="R337" s="16"/>
    </row>
    <row r="338" spans="16:18" x14ac:dyDescent="0.25">
      <c r="P338" s="16"/>
      <c r="Q338" s="12"/>
      <c r="R338" s="16"/>
    </row>
    <row r="339" spans="16:18" x14ac:dyDescent="0.25">
      <c r="P339" s="16"/>
      <c r="Q339" s="12"/>
      <c r="R339" s="16"/>
    </row>
    <row r="340" spans="16:18" x14ac:dyDescent="0.25">
      <c r="P340" s="16"/>
      <c r="Q340" s="12"/>
      <c r="R340" s="16"/>
    </row>
    <row r="341" spans="16:18" x14ac:dyDescent="0.25">
      <c r="P341" s="16"/>
      <c r="Q341" s="12"/>
      <c r="R341" s="16"/>
    </row>
    <row r="342" spans="16:18" x14ac:dyDescent="0.25">
      <c r="P342" s="16"/>
      <c r="Q342" s="12"/>
      <c r="R342" s="16"/>
    </row>
    <row r="343" spans="16:18" x14ac:dyDescent="0.25">
      <c r="P343" s="16"/>
      <c r="Q343" s="12"/>
      <c r="R343" s="16"/>
    </row>
    <row r="344" spans="16:18" x14ac:dyDescent="0.25">
      <c r="P344" s="16"/>
      <c r="Q344" s="12"/>
      <c r="R344" s="16"/>
    </row>
    <row r="345" spans="16:18" x14ac:dyDescent="0.25">
      <c r="P345" s="16"/>
      <c r="Q345" s="12"/>
      <c r="R345" s="16"/>
    </row>
    <row r="346" spans="16:18" x14ac:dyDescent="0.25">
      <c r="P346" s="16"/>
      <c r="Q346" s="12"/>
      <c r="R346" s="16"/>
    </row>
    <row r="347" spans="16:18" x14ac:dyDescent="0.25">
      <c r="P347" s="16"/>
      <c r="Q347" s="12"/>
      <c r="R347" s="16"/>
    </row>
    <row r="348" spans="16:18" x14ac:dyDescent="0.25">
      <c r="P348" s="16"/>
      <c r="Q348" s="12"/>
      <c r="R348" s="16"/>
    </row>
    <row r="349" spans="16:18" x14ac:dyDescent="0.25">
      <c r="P349" s="16"/>
      <c r="Q349" s="12"/>
      <c r="R349" s="16"/>
    </row>
    <row r="350" spans="16:18" x14ac:dyDescent="0.25">
      <c r="P350" s="16"/>
      <c r="Q350" s="12"/>
      <c r="R350" s="16"/>
    </row>
    <row r="351" spans="16:18" x14ac:dyDescent="0.25">
      <c r="P351" s="16"/>
      <c r="Q351" s="12"/>
      <c r="R351" s="16"/>
    </row>
    <row r="352" spans="16:18" x14ac:dyDescent="0.25">
      <c r="P352" s="16"/>
      <c r="Q352" s="12"/>
      <c r="R352" s="16"/>
    </row>
    <row r="353" spans="16:18" x14ac:dyDescent="0.25">
      <c r="P353" s="16"/>
      <c r="Q353" s="12"/>
      <c r="R353" s="16"/>
    </row>
    <row r="354" spans="16:18" x14ac:dyDescent="0.25">
      <c r="P354" s="16"/>
      <c r="Q354" s="12"/>
      <c r="R354" s="16"/>
    </row>
    <row r="355" spans="16:18" x14ac:dyDescent="0.25">
      <c r="P355" s="16"/>
      <c r="Q355" s="12"/>
      <c r="R355" s="16"/>
    </row>
    <row r="356" spans="16:18" x14ac:dyDescent="0.25">
      <c r="P356" s="16"/>
      <c r="Q356" s="12"/>
      <c r="R356" s="16"/>
    </row>
    <row r="357" spans="16:18" x14ac:dyDescent="0.25">
      <c r="P357" s="16"/>
      <c r="Q357" s="12"/>
      <c r="R357" s="16"/>
    </row>
    <row r="358" spans="16:18" x14ac:dyDescent="0.25">
      <c r="P358" s="16"/>
      <c r="Q358" s="12"/>
      <c r="R358" s="16"/>
    </row>
    <row r="359" spans="16:18" x14ac:dyDescent="0.25">
      <c r="P359" s="16"/>
      <c r="Q359" s="12"/>
      <c r="R359" s="16"/>
    </row>
    <row r="360" spans="16:18" x14ac:dyDescent="0.25">
      <c r="P360" s="16"/>
      <c r="Q360" s="12"/>
      <c r="R360" s="16"/>
    </row>
    <row r="361" spans="16:18" x14ac:dyDescent="0.25">
      <c r="P361" s="16"/>
      <c r="Q361" s="12"/>
      <c r="R361" s="16"/>
    </row>
    <row r="362" spans="16:18" x14ac:dyDescent="0.25">
      <c r="P362" s="16"/>
      <c r="Q362" s="12"/>
      <c r="R362" s="16"/>
    </row>
    <row r="363" spans="16:18" x14ac:dyDescent="0.25">
      <c r="P363" s="16"/>
      <c r="Q363" s="12"/>
      <c r="R363" s="16"/>
    </row>
    <row r="364" spans="16:18" x14ac:dyDescent="0.25">
      <c r="P364" s="16"/>
      <c r="Q364" s="12"/>
      <c r="R364" s="16"/>
    </row>
    <row r="365" spans="16:18" x14ac:dyDescent="0.25">
      <c r="P365" s="16"/>
      <c r="Q365" s="12"/>
      <c r="R365" s="16"/>
    </row>
    <row r="366" spans="16:18" x14ac:dyDescent="0.25">
      <c r="P366" s="16"/>
      <c r="Q366" s="12"/>
      <c r="R366" s="16"/>
    </row>
    <row r="367" spans="16:18" x14ac:dyDescent="0.25">
      <c r="P367" s="16"/>
      <c r="Q367" s="12"/>
      <c r="R367" s="16"/>
    </row>
    <row r="368" spans="16:18" x14ac:dyDescent="0.25">
      <c r="P368" s="16"/>
      <c r="Q368" s="12"/>
      <c r="R368" s="16"/>
    </row>
    <row r="369" spans="16:18" x14ac:dyDescent="0.25">
      <c r="P369" s="16"/>
      <c r="Q369" s="12"/>
      <c r="R369" s="16"/>
    </row>
    <row r="370" spans="16:18" x14ac:dyDescent="0.25">
      <c r="P370" s="16"/>
      <c r="Q370" s="12"/>
      <c r="R370" s="16"/>
    </row>
    <row r="371" spans="16:18" x14ac:dyDescent="0.25">
      <c r="P371" s="16"/>
      <c r="Q371" s="12"/>
      <c r="R371" s="16"/>
    </row>
    <row r="372" spans="16:18" x14ac:dyDescent="0.25">
      <c r="P372" s="16"/>
      <c r="Q372" s="12"/>
      <c r="R372" s="16"/>
    </row>
    <row r="373" spans="16:18" x14ac:dyDescent="0.25">
      <c r="P373" s="16"/>
      <c r="Q373" s="12"/>
      <c r="R373" s="16"/>
    </row>
    <row r="374" spans="16:18" x14ac:dyDescent="0.25">
      <c r="P374" s="16"/>
      <c r="Q374" s="12"/>
      <c r="R374" s="16"/>
    </row>
    <row r="375" spans="16:18" x14ac:dyDescent="0.25">
      <c r="P375" s="16"/>
      <c r="Q375" s="12"/>
      <c r="R375" s="16"/>
    </row>
    <row r="376" spans="16:18" x14ac:dyDescent="0.25">
      <c r="P376" s="16"/>
      <c r="Q376" s="12"/>
      <c r="R376" s="16"/>
    </row>
    <row r="377" spans="16:18" x14ac:dyDescent="0.25">
      <c r="P377" s="16"/>
      <c r="Q377" s="12"/>
      <c r="R377" s="16"/>
    </row>
    <row r="378" spans="16:18" x14ac:dyDescent="0.25">
      <c r="P378" s="16"/>
      <c r="Q378" s="12"/>
      <c r="R378" s="16"/>
    </row>
    <row r="379" spans="16:18" x14ac:dyDescent="0.25">
      <c r="P379" s="16"/>
      <c r="Q379" s="12"/>
      <c r="R379" s="16"/>
    </row>
    <row r="380" spans="16:18" x14ac:dyDescent="0.25">
      <c r="P380" s="16"/>
      <c r="Q380" s="12"/>
      <c r="R380" s="16"/>
    </row>
    <row r="381" spans="16:18" x14ac:dyDescent="0.25">
      <c r="P381" s="16"/>
      <c r="Q381" s="12"/>
      <c r="R381" s="16"/>
    </row>
    <row r="382" spans="16:18" x14ac:dyDescent="0.25">
      <c r="P382" s="16"/>
      <c r="Q382" s="12"/>
      <c r="R382" s="16"/>
    </row>
    <row r="383" spans="16:18" x14ac:dyDescent="0.25">
      <c r="P383" s="16"/>
      <c r="Q383" s="12"/>
      <c r="R383" s="16"/>
    </row>
    <row r="384" spans="16:18" x14ac:dyDescent="0.25">
      <c r="P384" s="16"/>
      <c r="Q384" s="12"/>
      <c r="R384" s="16"/>
    </row>
    <row r="385" spans="16:18" x14ac:dyDescent="0.25">
      <c r="P385" s="16"/>
      <c r="Q385" s="12"/>
      <c r="R385" s="16"/>
    </row>
    <row r="386" spans="16:18" x14ac:dyDescent="0.25">
      <c r="P386" s="16"/>
      <c r="Q386" s="12"/>
      <c r="R386" s="16"/>
    </row>
    <row r="387" spans="16:18" x14ac:dyDescent="0.25">
      <c r="P387" s="16"/>
      <c r="Q387" s="12"/>
      <c r="R387" s="16"/>
    </row>
    <row r="388" spans="16:18" x14ac:dyDescent="0.25">
      <c r="P388" s="16"/>
      <c r="Q388" s="12"/>
      <c r="R388" s="16"/>
    </row>
    <row r="389" spans="16:18" x14ac:dyDescent="0.25">
      <c r="P389" s="16"/>
      <c r="Q389" s="12"/>
      <c r="R389" s="16"/>
    </row>
    <row r="390" spans="16:18" x14ac:dyDescent="0.25">
      <c r="P390" s="16"/>
      <c r="Q390" s="12"/>
      <c r="R390" s="16"/>
    </row>
    <row r="391" spans="16:18" x14ac:dyDescent="0.25">
      <c r="P391" s="16"/>
      <c r="Q391" s="12"/>
      <c r="R391" s="16"/>
    </row>
    <row r="392" spans="16:18" x14ac:dyDescent="0.25">
      <c r="P392" s="16"/>
      <c r="Q392" s="12"/>
      <c r="R392" s="16"/>
    </row>
    <row r="393" spans="16:18" x14ac:dyDescent="0.25">
      <c r="P393" s="16"/>
      <c r="Q393" s="12"/>
      <c r="R393" s="16"/>
    </row>
    <row r="394" spans="16:18" x14ac:dyDescent="0.25">
      <c r="P394" s="16"/>
      <c r="Q394" s="12"/>
      <c r="R394" s="16"/>
    </row>
    <row r="395" spans="16:18" x14ac:dyDescent="0.25">
      <c r="P395" s="16"/>
      <c r="Q395" s="12"/>
      <c r="R395" s="16"/>
    </row>
    <row r="396" spans="16:18" x14ac:dyDescent="0.25">
      <c r="P396" s="16"/>
      <c r="Q396" s="12"/>
      <c r="R396" s="16"/>
    </row>
    <row r="397" spans="16:18" x14ac:dyDescent="0.25">
      <c r="P397" s="16"/>
      <c r="Q397" s="12"/>
      <c r="R397" s="16"/>
    </row>
    <row r="398" spans="16:18" x14ac:dyDescent="0.25">
      <c r="P398" s="16"/>
      <c r="Q398" s="12"/>
      <c r="R398" s="16"/>
    </row>
    <row r="399" spans="16:18" x14ac:dyDescent="0.25">
      <c r="P399" s="16"/>
      <c r="Q399" s="12"/>
      <c r="R399" s="16"/>
    </row>
    <row r="400" spans="16:18" x14ac:dyDescent="0.25">
      <c r="P400" s="16"/>
      <c r="Q400" s="12"/>
      <c r="R400" s="16"/>
    </row>
    <row r="401" spans="16:18" x14ac:dyDescent="0.25">
      <c r="P401" s="16"/>
      <c r="Q401" s="12"/>
      <c r="R401" s="16"/>
    </row>
    <row r="402" spans="16:18" x14ac:dyDescent="0.25">
      <c r="P402" s="16"/>
      <c r="Q402" s="12"/>
      <c r="R402" s="16"/>
    </row>
    <row r="403" spans="16:18" x14ac:dyDescent="0.25">
      <c r="P403" s="16"/>
      <c r="Q403" s="12"/>
      <c r="R403" s="16"/>
    </row>
    <row r="404" spans="16:18" x14ac:dyDescent="0.25">
      <c r="P404" s="16"/>
      <c r="Q404" s="12"/>
      <c r="R404" s="16"/>
    </row>
    <row r="405" spans="16:18" x14ac:dyDescent="0.25">
      <c r="P405" s="16"/>
      <c r="Q405" s="12"/>
      <c r="R405" s="16"/>
    </row>
    <row r="406" spans="16:18" x14ac:dyDescent="0.25">
      <c r="P406" s="16"/>
      <c r="Q406" s="12"/>
      <c r="R406" s="16"/>
    </row>
    <row r="407" spans="16:18" x14ac:dyDescent="0.25">
      <c r="P407" s="16"/>
      <c r="Q407" s="12"/>
      <c r="R407" s="16"/>
    </row>
    <row r="408" spans="16:18" x14ac:dyDescent="0.25">
      <c r="P408" s="16"/>
      <c r="Q408" s="12"/>
      <c r="R408" s="16"/>
    </row>
    <row r="409" spans="16:18" x14ac:dyDescent="0.25">
      <c r="P409" s="16"/>
      <c r="Q409" s="12"/>
      <c r="R409" s="16"/>
    </row>
    <row r="410" spans="16:18" x14ac:dyDescent="0.25">
      <c r="P410" s="16"/>
      <c r="Q410" s="12"/>
      <c r="R410" s="16"/>
    </row>
    <row r="411" spans="16:18" x14ac:dyDescent="0.25">
      <c r="P411" s="16"/>
      <c r="Q411" s="12"/>
      <c r="R411" s="16"/>
    </row>
    <row r="412" spans="16:18" x14ac:dyDescent="0.25">
      <c r="P412" s="16"/>
      <c r="Q412" s="12"/>
      <c r="R412" s="16"/>
    </row>
    <row r="413" spans="16:18" x14ac:dyDescent="0.25">
      <c r="P413" s="16"/>
      <c r="Q413" s="12"/>
      <c r="R413" s="16"/>
    </row>
    <row r="414" spans="16:18" x14ac:dyDescent="0.25">
      <c r="P414" s="16"/>
      <c r="Q414" s="12"/>
      <c r="R414" s="16"/>
    </row>
    <row r="415" spans="16:18" x14ac:dyDescent="0.25">
      <c r="P415" s="16"/>
      <c r="Q415" s="12"/>
      <c r="R415" s="16"/>
    </row>
    <row r="416" spans="16:18" x14ac:dyDescent="0.25">
      <c r="P416" s="16"/>
      <c r="Q416" s="12"/>
      <c r="R416" s="16"/>
    </row>
    <row r="417" spans="16:18" x14ac:dyDescent="0.25">
      <c r="P417" s="16"/>
      <c r="Q417" s="12"/>
      <c r="R417" s="16"/>
    </row>
    <row r="418" spans="16:18" x14ac:dyDescent="0.25">
      <c r="P418" s="16"/>
      <c r="Q418" s="12"/>
      <c r="R418" s="16"/>
    </row>
    <row r="419" spans="16:18" x14ac:dyDescent="0.25">
      <c r="P419" s="16"/>
      <c r="Q419" s="12"/>
      <c r="R419" s="16"/>
    </row>
    <row r="420" spans="16:18" x14ac:dyDescent="0.25">
      <c r="P420" s="16"/>
      <c r="Q420" s="12"/>
      <c r="R420" s="16"/>
    </row>
  </sheetData>
  <pageMargins left="0.7" right="0.7" top="0.75" bottom="0.75" header="0.3" footer="0.3"/>
  <pageSetup paperSize="9" orientation="portrait" r:id="rId6"/>
  <ignoredErrors>
    <ignoredError sqref="M104:M106 M101:M103" formula="1"/>
    <ignoredError sqref="B101:D101" calculatedColumn="1"/>
  </ignoredErrors>
  <drawing r:id="rId7"/>
  <tableParts count="2">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4028-E9F8-42B8-A1C4-E42DA6086A12}">
  <dimension ref="A1:J397"/>
  <sheetViews>
    <sheetView showGridLines="0" workbookViewId="0">
      <selection activeCell="D34" sqref="D34:D329"/>
    </sheetView>
  </sheetViews>
  <sheetFormatPr baseColWidth="10" defaultColWidth="11.44140625" defaultRowHeight="13.8" x14ac:dyDescent="0.25"/>
  <cols>
    <col min="1" max="1" width="19.109375" style="8" bestFit="1" customWidth="1"/>
    <col min="2" max="2" width="10.33203125" style="8" bestFit="1" customWidth="1"/>
    <col min="3" max="3" width="10.33203125" style="8" customWidth="1"/>
    <col min="4" max="4" width="13.6640625" style="8" bestFit="1" customWidth="1"/>
    <col min="5" max="5" width="14" style="8" bestFit="1" customWidth="1"/>
    <col min="6" max="7" width="11.44140625" style="8"/>
    <col min="8" max="8" width="32.88671875" style="8" customWidth="1"/>
    <col min="9" max="16384" width="11.44140625" style="8"/>
  </cols>
  <sheetData>
    <row r="1" spans="1:10" ht="27.6" x14ac:dyDescent="0.25">
      <c r="A1" s="15" t="s">
        <v>388</v>
      </c>
      <c r="B1" s="15" t="s">
        <v>399</v>
      </c>
      <c r="C1" s="15" t="s">
        <v>34</v>
      </c>
      <c r="D1" s="15" t="s">
        <v>400</v>
      </c>
      <c r="E1" s="15" t="s">
        <v>401</v>
      </c>
      <c r="H1" s="15" t="s">
        <v>402</v>
      </c>
      <c r="I1" s="18">
        <f>COUNTIF(Tabla2[[#All],[Tipo]],"Incidencia")</f>
        <v>80</v>
      </c>
    </row>
    <row r="2" spans="1:10" x14ac:dyDescent="0.25">
      <c r="A2" s="19">
        <f>Incidencias!B211</f>
        <v>0</v>
      </c>
      <c r="B2" s="16" t="str">
        <f>IF(Incidencias!E211="Mejora","Mejora","Incidencia")</f>
        <v>Incidencia</v>
      </c>
      <c r="C2" s="8" t="str">
        <f>IF(Incidencias!E211="Mejora","NA",IF(OR(Incidencias!M211="Abierta",Incidencias!M211="En proceso",Incidencias!M211="Info cliente")=TRUE,"En curso",IF(Incidencias!M211="Descartada","Descartada","Entregada")))</f>
        <v>Entregada</v>
      </c>
      <c r="D2" s="8" t="str">
        <f>IF(C2="En curso",
IF(Incidencias!#REF!="Sí","Bloqueante",
IF(Incidencias!#REF!="No","No bloqueante","NA")),"NA")</f>
        <v>NA</v>
      </c>
      <c r="E2" s="8" t="str">
        <f>IF(C2="En curso",
IF(Incidencias!#REF!="Usuario","Usuario",
IF(Incidencias!#REF!="Proceso","Proceso","NA")),"NA")</f>
        <v>NA</v>
      </c>
      <c r="H2" s="15" t="s">
        <v>403</v>
      </c>
      <c r="I2" s="18">
        <f>COUNTIF(Tabla2[[#All],[Estado]],"En curso")</f>
        <v>0</v>
      </c>
      <c r="J2" s="20">
        <f>I2/I1</f>
        <v>0</v>
      </c>
    </row>
    <row r="3" spans="1:10" x14ac:dyDescent="0.25">
      <c r="A3" s="19" t="e">
        <f>Incidencias!#REF!</f>
        <v>#REF!</v>
      </c>
      <c r="B3" s="16" t="str">
        <f>IF(Incidencias!E13="Mejora","Mejora","Incidencia")</f>
        <v>Incidencia</v>
      </c>
      <c r="C3" s="8" t="str">
        <f>IF(Incidencias!E13="Mejora","NA",IF(OR(Incidencias!M13="Abierta",Incidencias!M13="En proceso",Incidencias!M13="Info cliente")=TRUE,"En curso",IF(Incidencias!M13="Descartada","Descartada","Entregada")))</f>
        <v>Entregada</v>
      </c>
      <c r="D3" s="8" t="str">
        <f>IF(C3="En curso",
IF(Incidencias!#REF!="Sí","Bloqueante",
IF(Incidencias!#REF!="No","No bloqueante","NA")),"NA")</f>
        <v>NA</v>
      </c>
      <c r="E3" s="8" t="str">
        <f>IF(C3="En curso",
IF(Incidencias!#REF!="Usuario","Usuario",
IF(Incidencias!#REF!="Proceso","Proceso","NA")),"NA")</f>
        <v>NA</v>
      </c>
      <c r="H3" s="15" t="s">
        <v>404</v>
      </c>
      <c r="I3" s="18">
        <f>COUNTIF(Tabla2[[#All],[Bloqueante]],"Bloqueante")</f>
        <v>1</v>
      </c>
      <c r="J3" s="20" t="e">
        <f>I3/I2</f>
        <v>#DIV/0!</v>
      </c>
    </row>
    <row r="4" spans="1:10" x14ac:dyDescent="0.25">
      <c r="A4" s="19" t="str">
        <f>Incidencias!B9</f>
        <v>EUR0001</v>
      </c>
      <c r="B4" s="16" t="str">
        <f>IF(Incidencias!E14="Mejora","Mejora","Incidencia")</f>
        <v>Incidencia</v>
      </c>
      <c r="C4" s="8" t="str">
        <f>IF(Incidencias!E14="Mejora","NA",IF(OR(Incidencias!M14="Abierta",Incidencias!M14="En proceso",Incidencias!M14="Info cliente")=TRUE,"En curso",IF(Incidencias!M14="Descartada","Descartada","Entregada")))</f>
        <v>Entregada</v>
      </c>
      <c r="D4" s="8" t="str">
        <f>IF(C4="En curso",
IF(Incidencias!#REF!="Sí","Bloqueante",
IF(Incidencias!#REF!="No","No bloqueante","NA")),"NA")</f>
        <v>NA</v>
      </c>
      <c r="E4" s="8" t="str">
        <f>IF(C4="En curso",
IF(Incidencias!#REF!="Usuario","Usuario",
IF(Incidencias!#REF!="Proceso","Proceso","NA")),"NA")</f>
        <v>NA</v>
      </c>
      <c r="H4" s="15" t="s">
        <v>405</v>
      </c>
      <c r="I4" s="18">
        <f>COUNTIF(Tabla2[[#All],[Error usuario]],"Usuario")</f>
        <v>0</v>
      </c>
      <c r="J4" s="20" t="e">
        <f>I4/I2</f>
        <v>#DIV/0!</v>
      </c>
    </row>
    <row r="5" spans="1:10" x14ac:dyDescent="0.25">
      <c r="A5" s="19" t="str">
        <f>Incidencias!B10</f>
        <v>EUR0002</v>
      </c>
      <c r="B5" s="16" t="str">
        <f>IF(Incidencias!E15="Mejora","Mejora","Incidencia")</f>
        <v>Incidencia</v>
      </c>
      <c r="C5" s="8" t="str">
        <f>IF(Incidencias!E15="Mejora","NA",IF(OR(Incidencias!M15="Abierta",Incidencias!M15="En proceso",Incidencias!M15="Info cliente")=TRUE,"En curso",IF(Incidencias!M15="Descartada","Descartada","Entregada")))</f>
        <v>Entregada</v>
      </c>
      <c r="D5" s="8" t="str">
        <f>IF(C5="En curso",
IF(Incidencias!#REF!="Sí","Bloqueante",
IF(Incidencias!#REF!="No","No bloqueante","NA")),"NA")</f>
        <v>NA</v>
      </c>
      <c r="E5" s="8" t="str">
        <f>IF(C5="En curso",
IF(Incidencias!#REF!="Usuario","Usuario",
IF(Incidencias!#REF!="Proceso","Proceso","NA")),"NA")</f>
        <v>NA</v>
      </c>
    </row>
    <row r="6" spans="1:10" x14ac:dyDescent="0.25">
      <c r="A6" s="19" t="str">
        <f>Incidencias!B13</f>
        <v>EUR0005</v>
      </c>
      <c r="B6" s="16" t="str">
        <f>IF(Incidencias!E16="Mejora","Mejora","Incidencia")</f>
        <v>Incidencia</v>
      </c>
      <c r="C6" s="8" t="str">
        <f>IF(Incidencias!E16="Mejora","NA",IF(OR(Incidencias!M16="Abierta",Incidencias!M16="En proceso",Incidencias!M16="Info cliente")=TRUE,"En curso",IF(Incidencias!M16="Descartada","Descartada","Entregada")))</f>
        <v>Entregada</v>
      </c>
      <c r="D6" s="8" t="str">
        <f>IF(C6="En curso",
IF(Incidencias!#REF!="Sí","Bloqueante",
IF(Incidencias!#REF!="No","No bloqueante","NA")),"NA")</f>
        <v>NA</v>
      </c>
      <c r="E6" s="8" t="str">
        <f>IF(C6="En curso",
IF(Incidencias!#REF!="Usuario","Usuario",
IF(Incidencias!#REF!="Proceso","Proceso","NA")),"NA")</f>
        <v>NA</v>
      </c>
    </row>
    <row r="7" spans="1:10" x14ac:dyDescent="0.25">
      <c r="A7" s="19" t="str">
        <f>Incidencias!B14</f>
        <v>EUR0006</v>
      </c>
      <c r="B7" s="16" t="str">
        <f>IF(Incidencias!E17="Mejora","Mejora","Incidencia")</f>
        <v>Incidencia</v>
      </c>
      <c r="C7" s="8" t="str">
        <f>IF(Incidencias!E17="Mejora","NA",IF(OR(Incidencias!M17="Abierta",Incidencias!M17="En proceso",Incidencias!M17="Info cliente")=TRUE,"En curso",IF(Incidencias!M17="Descartada","Descartada","Entregada")))</f>
        <v>Entregada</v>
      </c>
      <c r="D7" s="8" t="str">
        <f>IF(C7="En curso",
IF(Incidencias!#REF!="Sí","Bloqueante",
IF(Incidencias!#REF!="No","No bloqueante","NA")),"NA")</f>
        <v>NA</v>
      </c>
      <c r="E7" s="8" t="str">
        <f>IF(C7="En curso",
IF(Incidencias!#REF!="Usuario","Usuario",
IF(Incidencias!#REF!="Proceso","Proceso","NA")),"NA")</f>
        <v>NA</v>
      </c>
    </row>
    <row r="8" spans="1:10" x14ac:dyDescent="0.25">
      <c r="A8" s="19" t="str">
        <f>Incidencias!B15</f>
        <v>EUR0007</v>
      </c>
      <c r="B8" s="16" t="str">
        <f>IF(Incidencias!E21="Mejora","Mejora","Incidencia")</f>
        <v>Incidencia</v>
      </c>
      <c r="C8" s="8" t="str">
        <f>IF(Incidencias!E21="Mejora","NA",IF(OR(Incidencias!M21="Abierta",Incidencias!M21="En proceso",Incidencias!M21="Info cliente")=TRUE,"En curso",IF(Incidencias!M21="Descartada","Descartada","Entregada")))</f>
        <v>Entregada</v>
      </c>
      <c r="D8" s="8" t="str">
        <f>IF(C8="En curso",
IF(Incidencias!#REF!="Sí","Bloqueante",
IF(Incidencias!#REF!="No","No bloqueante","NA")),"NA")</f>
        <v>NA</v>
      </c>
      <c r="E8" s="8" t="str">
        <f>IF(C8="En curso",
IF(Incidencias!#REF!="Usuario","Usuario",
IF(Incidencias!#REF!="Proceso","Proceso","NA")),"NA")</f>
        <v>NA</v>
      </c>
    </row>
    <row r="9" spans="1:10" x14ac:dyDescent="0.25">
      <c r="A9" s="19" t="str">
        <f>Incidencias!B16</f>
        <v>EUR0008</v>
      </c>
      <c r="B9" s="16" t="e">
        <f>IF(Incidencias!#REF!="Mejora","Mejora","Incidencia")</f>
        <v>#REF!</v>
      </c>
      <c r="C9" s="8" t="e">
        <f>IF(Incidencias!#REF!="Mejora","NA",IF(OR(Incidencias!#REF!="Abierta",Incidencias!#REF!="En proceso",Incidencias!#REF!="Info cliente")=TRUE,"En curso",IF(Incidencias!#REF!="Descartada","Descartada","Entregada")))</f>
        <v>#REF!</v>
      </c>
      <c r="D9" s="8" t="e">
        <f>IF(C9="En curso",
IF(Incidencias!#REF!="Sí","Bloqueante",
IF(Incidencias!#REF!="No","No bloqueante","NA")),"NA")</f>
        <v>#REF!</v>
      </c>
      <c r="E9" s="8" t="e">
        <f>IF(C9="En curso",
IF(Incidencias!#REF!="Usuario","Usuario",
IF(Incidencias!#REF!="Proceso","Proceso","NA")),"NA")</f>
        <v>#REF!</v>
      </c>
    </row>
    <row r="10" spans="1:10" x14ac:dyDescent="0.25">
      <c r="A10" s="19" t="str">
        <f>Incidencias!B17</f>
        <v>EUR0009</v>
      </c>
      <c r="B10" s="16" t="str">
        <f>IF(Incidencias!E25="Mejora","Mejora","Incidencia")</f>
        <v>Incidencia</v>
      </c>
      <c r="C10" s="8" t="str">
        <f>IF(Incidencias!E25="Mejora","NA",IF(OR(Incidencias!M25="Abierta",Incidencias!M25="En proceso",Incidencias!M25="Info cliente")=TRUE,"En curso",IF(Incidencias!M25="Descartada","Descartada","Entregada")))</f>
        <v>Entregada</v>
      </c>
      <c r="D10" s="8" t="str">
        <f>IF(C10="En curso",
IF(Incidencias!#REF!="Sí","Bloqueante",
IF(Incidencias!#REF!="No","No bloqueante","NA")),"NA")</f>
        <v>NA</v>
      </c>
      <c r="E10" s="8" t="str">
        <f>IF(C10="En curso",
IF(Incidencias!#REF!="Usuario","Usuario",
IF(Incidencias!#REF!="Proceso","Proceso","NA")),"NA")</f>
        <v>NA</v>
      </c>
    </row>
    <row r="11" spans="1:10" x14ac:dyDescent="0.25">
      <c r="A11" s="19" t="str">
        <f>Incidencias!B21</f>
        <v>EUR0013</v>
      </c>
      <c r="B11" s="16" t="str">
        <f>IF(Incidencias!E26="Mejora","Mejora","Incidencia")</f>
        <v>Incidencia</v>
      </c>
      <c r="C11" s="8" t="str">
        <f>IF(Incidencias!E26="Mejora","NA",IF(OR(Incidencias!M26="Abierta",Incidencias!M26="En proceso",Incidencias!M26="Info cliente")=TRUE,"En curso",IF(Incidencias!M26="Descartada","Descartada","Entregada")))</f>
        <v>Entregada</v>
      </c>
      <c r="D11" s="8" t="str">
        <f>IF(C11="En curso",
IF(Incidencias!#REF!="Sí","Bloqueante",
IF(Incidencias!#REF!="No","No bloqueante","NA")),"NA")</f>
        <v>NA</v>
      </c>
      <c r="E11" s="8" t="str">
        <f>IF(C11="En curso",
IF(Incidencias!#REF!="Usuario","Usuario",
IF(Incidencias!#REF!="Proceso","Proceso","NA")),"NA")</f>
        <v>NA</v>
      </c>
    </row>
    <row r="12" spans="1:10" x14ac:dyDescent="0.25">
      <c r="A12" s="19" t="str">
        <f>Incidencias!B22</f>
        <v>EUR0014</v>
      </c>
      <c r="B12" s="16" t="str">
        <f>IF(Incidencias!E28="Mejora","Mejora","Incidencia")</f>
        <v>Incidencia</v>
      </c>
      <c r="C12" s="8" t="str">
        <f>IF(Incidencias!E28="Mejora","NA",IF(OR(Incidencias!M28="Abierta",Incidencias!M28="En proceso",Incidencias!M28="Info cliente")=TRUE,"En curso",IF(Incidencias!M28="Descartada","Descartada","Entregada")))</f>
        <v>Entregada</v>
      </c>
      <c r="D12" s="8" t="str">
        <f>IF(C12="En curso",
IF(Incidencias!#REF!="Sí","Bloqueante",
IF(Incidencias!#REF!="No","No bloqueante","NA")),"NA")</f>
        <v>NA</v>
      </c>
      <c r="E12" s="8" t="str">
        <f>IF(C12="En curso",
IF(Incidencias!#REF!="Usuario","Usuario",
IF(Incidencias!#REF!="Proceso","Proceso","NA")),"NA")</f>
        <v>NA</v>
      </c>
    </row>
    <row r="13" spans="1:10" x14ac:dyDescent="0.25">
      <c r="A13" s="19" t="str">
        <f>Incidencias!B23</f>
        <v>EUR0015</v>
      </c>
      <c r="B13" s="16" t="str">
        <f>IF(Incidencias!E29="Mejora","Mejora","Incidencia")</f>
        <v>Incidencia</v>
      </c>
      <c r="C13" s="8" t="str">
        <f>IF(Incidencias!E29="Mejora","NA",IF(OR(Incidencias!M29="Abierta",Incidencias!M29="En proceso",Incidencias!M29="Info cliente")=TRUE,"En curso",IF(Incidencias!M29="Descartada","Descartada","Entregada")))</f>
        <v>Entregada</v>
      </c>
      <c r="D13" s="8" t="str">
        <f>IF(C13="En curso",
IF(Incidencias!#REF!="Sí","Bloqueante",
IF(Incidencias!#REF!="No","No bloqueante","NA")),"NA")</f>
        <v>NA</v>
      </c>
      <c r="E13" s="8" t="str">
        <f>IF(C13="En curso",
IF(Incidencias!#REF!="Usuario","Usuario",
IF(Incidencias!#REF!="Proceso","Proceso","NA")),"NA")</f>
        <v>NA</v>
      </c>
    </row>
    <row r="14" spans="1:10" x14ac:dyDescent="0.25">
      <c r="A14" s="19" t="e">
        <f>Incidencias!#REF!</f>
        <v>#REF!</v>
      </c>
      <c r="B14" s="16" t="str">
        <f>IF(Incidencias!E35="Mejora","Mejora","Incidencia")</f>
        <v>Incidencia</v>
      </c>
      <c r="C14" s="8" t="str">
        <f>IF(Incidencias!E35="Mejora","NA",IF(OR(Incidencias!M35="Abierta",Incidencias!M35="En proceso",Incidencias!M35="Info cliente")=TRUE,"En curso",IF(Incidencias!M35="Descartada","Descartada","Entregada")))</f>
        <v>Entregada</v>
      </c>
      <c r="D14" s="8" t="str">
        <f>IF(C14="En curso",
IF(Incidencias!#REF!="Sí","Bloqueante",
IF(Incidencias!#REF!="No","No bloqueante","NA")),"NA")</f>
        <v>NA</v>
      </c>
      <c r="E14" s="8" t="str">
        <f>IF(C14="En curso",
IF(Incidencias!#REF!="Usuario","Usuario",
IF(Incidencias!#REF!="Proceso","Proceso","NA")),"NA")</f>
        <v>NA</v>
      </c>
    </row>
    <row r="15" spans="1:10" x14ac:dyDescent="0.25">
      <c r="A15" s="19">
        <f>Incidencias!B25</f>
        <v>0</v>
      </c>
      <c r="B15" s="16" t="str">
        <f>IF(Incidencias!E36="Mejora","Mejora","Incidencia")</f>
        <v>Incidencia</v>
      </c>
      <c r="C15" s="8" t="str">
        <f>IF(Incidencias!E36="Mejora","NA",IF(OR(Incidencias!M36="Abierta",Incidencias!M36="En proceso",Incidencias!M36="Info cliente")=TRUE,"En curso",IF(Incidencias!M36="Descartada","Descartada","Entregada")))</f>
        <v>Entregada</v>
      </c>
      <c r="D15" s="8" t="str">
        <f>IF(C15="En curso",
IF(Incidencias!#REF!="Sí","Bloqueante",
IF(Incidencias!#REF!="No","No bloqueante","NA")),"NA")</f>
        <v>NA</v>
      </c>
      <c r="E15" s="8" t="str">
        <f>IF(C15="En curso",
IF(Incidencias!#REF!="Usuario","Usuario",
IF(Incidencias!#REF!="Proceso","Proceso","NA")),"NA")</f>
        <v>NA</v>
      </c>
    </row>
    <row r="16" spans="1:10" x14ac:dyDescent="0.25">
      <c r="A16" s="19">
        <f>Incidencias!B26</f>
        <v>0</v>
      </c>
      <c r="B16" s="16" t="str">
        <f>IF(Incidencias!E39="Mejora","Mejora","Incidencia")</f>
        <v>Incidencia</v>
      </c>
      <c r="C16" s="8" t="str">
        <f>IF(Incidencias!E39="Mejora","NA",IF(OR(Incidencias!M39="Abierta",Incidencias!M39="En proceso",Incidencias!M39="Info cliente")=TRUE,"En curso",IF(Incidencias!M39="Descartada","Descartada","Entregada")))</f>
        <v>Entregada</v>
      </c>
      <c r="D16" s="8" t="str">
        <f>IF(C16="En curso",
IF(Incidencias!#REF!="Sí","Bloqueante",
IF(Incidencias!#REF!="No","No bloqueante","NA")),"NA")</f>
        <v>NA</v>
      </c>
      <c r="E16" s="8" t="str">
        <f>IF(C16="En curso",
IF(Incidencias!#REF!="Usuario","Usuario",
IF(Incidencias!#REF!="Proceso","Proceso","NA")),"NA")</f>
        <v>NA</v>
      </c>
    </row>
    <row r="17" spans="1:5" x14ac:dyDescent="0.25">
      <c r="A17" s="19">
        <f>Incidencias!B27</f>
        <v>0</v>
      </c>
      <c r="B17" s="16" t="str">
        <f>IF(Incidencias!E40="Mejora","Mejora","Incidencia")</f>
        <v>Incidencia</v>
      </c>
      <c r="C17" s="8" t="str">
        <f>IF(Incidencias!E40="Mejora","NA",IF(OR(Incidencias!M40="Abierta",Incidencias!M40="En proceso",Incidencias!M40="Info cliente")=TRUE,"En curso",IF(Incidencias!M40="Descartada","Descartada","Entregada")))</f>
        <v>Entregada</v>
      </c>
      <c r="D17" s="8" t="str">
        <f>IF(C17="En curso",
IF(Incidencias!#REF!="Sí","Bloqueante",
IF(Incidencias!#REF!="No","No bloqueante","NA")),"NA")</f>
        <v>NA</v>
      </c>
      <c r="E17" s="8" t="str">
        <f>IF(C17="En curso",
IF(Incidencias!#REF!="Usuario","Usuario",
IF(Incidencias!#REF!="Proceso","Proceso","NA")),"NA")</f>
        <v>NA</v>
      </c>
    </row>
    <row r="18" spans="1:5" x14ac:dyDescent="0.25">
      <c r="A18" s="19">
        <f>Incidencias!B28</f>
        <v>0</v>
      </c>
      <c r="B18" s="16" t="str">
        <f>IF(Incidencias!E41="Mejora","Mejora","Incidencia")</f>
        <v>Incidencia</v>
      </c>
      <c r="C18" s="8" t="str">
        <f>IF(Incidencias!E41="Mejora","NA",IF(OR(Incidencias!M41="Abierta",Incidencias!M41="En proceso",Incidencias!M41="Info cliente")=TRUE,"En curso",IF(Incidencias!M41="Descartada","Descartada","Entregada")))</f>
        <v>Entregada</v>
      </c>
      <c r="D18" s="8" t="str">
        <f>IF(C18="En curso",
IF(Incidencias!#REF!="Sí","Bloqueante",
IF(Incidencias!#REF!="No","No bloqueante","NA")),"NA")</f>
        <v>NA</v>
      </c>
      <c r="E18" s="8" t="str">
        <f>IF(C18="En curso",
IF(Incidencias!#REF!="Usuario","Usuario",
IF(Incidencias!#REF!="Proceso","Proceso","NA")),"NA")</f>
        <v>NA</v>
      </c>
    </row>
    <row r="19" spans="1:5" x14ac:dyDescent="0.25">
      <c r="A19" s="19">
        <f>Incidencias!B29</f>
        <v>0</v>
      </c>
      <c r="B19" s="16" t="str">
        <f>IF(Incidencias!E43="Mejora","Mejora","Incidencia")</f>
        <v>Incidencia</v>
      </c>
      <c r="C19" s="8" t="str">
        <f>IF(Incidencias!E43="Mejora","NA",IF(OR(Incidencias!M43="Abierta",Incidencias!M43="En proceso",Incidencias!M43="Info cliente")=TRUE,"En curso",IF(Incidencias!M43="Descartada","Descartada","Entregada")))</f>
        <v>Entregada</v>
      </c>
      <c r="D19" s="8" t="str">
        <f>IF(C19="En curso",
IF(Incidencias!#REF!="Sí","Bloqueante",
IF(Incidencias!#REF!="No","No bloqueante","NA")),"NA")</f>
        <v>NA</v>
      </c>
      <c r="E19" s="8" t="str">
        <f>IF(C19="En curso",
IF(Incidencias!#REF!="Usuario","Usuario",
IF(Incidencias!#REF!="Proceso","Proceso","NA")),"NA")</f>
        <v>NA</v>
      </c>
    </row>
    <row r="20" spans="1:5" x14ac:dyDescent="0.25">
      <c r="A20" s="19">
        <f>Incidencias!B35</f>
        <v>0</v>
      </c>
      <c r="B20" s="16" t="str">
        <f>IF(Incidencias!E44="Mejora","Mejora","Incidencia")</f>
        <v>Incidencia</v>
      </c>
      <c r="C20" s="8" t="str">
        <f>IF(Incidencias!E44="Mejora","NA",IF(OR(Incidencias!M44="Abierta",Incidencias!M44="En proceso",Incidencias!M44="Info cliente")=TRUE,"En curso",IF(Incidencias!M44="Descartada","Descartada","Entregada")))</f>
        <v>Entregada</v>
      </c>
      <c r="D20" s="8" t="str">
        <f>IF(C20="En curso",
IF(Incidencias!#REF!="Sí","Bloqueante",
IF(Incidencias!#REF!="No","No bloqueante","NA")),"NA")</f>
        <v>NA</v>
      </c>
      <c r="E20" s="8" t="str">
        <f>IF(C20="En curso",
IF(Incidencias!#REF!="Usuario","Usuario",
IF(Incidencias!#REF!="Proceso","Proceso","NA")),"NA")</f>
        <v>NA</v>
      </c>
    </row>
    <row r="21" spans="1:5" x14ac:dyDescent="0.25">
      <c r="A21" s="19">
        <f>Incidencias!B36</f>
        <v>0</v>
      </c>
      <c r="B21" s="16" t="str">
        <f>IF(Incidencias!E45="Mejora","Mejora","Incidencia")</f>
        <v>Incidencia</v>
      </c>
      <c r="C21" s="8" t="str">
        <f>IF(Incidencias!E45="Mejora","NA",IF(OR(Incidencias!M45="Abierta",Incidencias!M45="En proceso",Incidencias!M45="Info cliente")=TRUE,"En curso",IF(Incidencias!M45="Descartada","Descartada","Entregada")))</f>
        <v>Entregada</v>
      </c>
      <c r="D21" s="8" t="str">
        <f>IF(C21="En curso",
IF(Incidencias!#REF!="Sí","Bloqueante",
IF(Incidencias!#REF!="No","No bloqueante","NA")),"NA")</f>
        <v>NA</v>
      </c>
      <c r="E21" s="8" t="str">
        <f>IF(C21="En curso",
IF(Incidencias!#REF!="Usuario","Usuario",
IF(Incidencias!#REF!="Proceso","Proceso","NA")),"NA")</f>
        <v>NA</v>
      </c>
    </row>
    <row r="22" spans="1:5" x14ac:dyDescent="0.25">
      <c r="A22" s="19">
        <f>Incidencias!B39</f>
        <v>0</v>
      </c>
      <c r="B22" s="16" t="str">
        <f>IF(Incidencias!E46="Mejora","Mejora","Incidencia")</f>
        <v>Incidencia</v>
      </c>
      <c r="C22" s="8" t="str">
        <f>IF(Incidencias!E46="Mejora","NA",IF(OR(Incidencias!M46="Abierta",Incidencias!M46="En proceso",Incidencias!M46="Info cliente")=TRUE,"En curso",IF(Incidencias!M46="Descartada","Descartada","Entregada")))</f>
        <v>Entregada</v>
      </c>
      <c r="D22" s="8" t="str">
        <f>IF(C22="En curso",
IF(Incidencias!#REF!="Sí","Bloqueante",
IF(Incidencias!#REF!="No","No bloqueante","NA")),"NA")</f>
        <v>NA</v>
      </c>
      <c r="E22" s="8" t="str">
        <f>IF(C22="En curso",
IF(Incidencias!#REF!="Usuario","Usuario",
IF(Incidencias!#REF!="Proceso","Proceso","NA")),"NA")</f>
        <v>NA</v>
      </c>
    </row>
    <row r="23" spans="1:5" x14ac:dyDescent="0.25">
      <c r="A23" s="19">
        <f>Incidencias!B40</f>
        <v>0</v>
      </c>
      <c r="B23" s="16" t="str">
        <f>IF(Incidencias!E47="Mejora","Mejora","Incidencia")</f>
        <v>Incidencia</v>
      </c>
      <c r="C23" s="8" t="str">
        <f>IF(Incidencias!E47="Mejora","NA",IF(OR(Incidencias!M47="Abierta",Incidencias!M47="En proceso",Incidencias!M47="Info cliente")=TRUE,"En curso",IF(Incidencias!M47="Descartada","Descartada","Entregada")))</f>
        <v>Entregada</v>
      </c>
      <c r="D23" s="8" t="str">
        <f>IF(C23="En curso",
IF(Incidencias!#REF!="Sí","Bloqueante",
IF(Incidencias!#REF!="No","No bloqueante","NA")),"NA")</f>
        <v>NA</v>
      </c>
      <c r="E23" s="8" t="str">
        <f>IF(C23="En curso",
IF(Incidencias!#REF!="Usuario","Usuario",
IF(Incidencias!#REF!="Proceso","Proceso","NA")),"NA")</f>
        <v>NA</v>
      </c>
    </row>
    <row r="24" spans="1:5" x14ac:dyDescent="0.25">
      <c r="A24" s="19">
        <f>Incidencias!B41</f>
        <v>0</v>
      </c>
      <c r="B24" s="16" t="str">
        <f>IF(Incidencias!E48="Mejora","Mejora","Incidencia")</f>
        <v>Incidencia</v>
      </c>
      <c r="C24" s="8" t="str">
        <f>IF(Incidencias!E48="Mejora","NA",IF(OR(Incidencias!M48="Abierta",Incidencias!M48="En proceso",Incidencias!M48="Info cliente")=TRUE,"En curso",IF(Incidencias!M48="Descartada","Descartada","Entregada")))</f>
        <v>Entregada</v>
      </c>
      <c r="D24" s="8" t="str">
        <f>IF(C24="En curso",
IF(Incidencias!#REF!="Sí","Bloqueante",
IF(Incidencias!#REF!="No","No bloqueante","NA")),"NA")</f>
        <v>NA</v>
      </c>
      <c r="E24" s="8" t="str">
        <f>IF(C24="En curso",
IF(Incidencias!#REF!="Usuario","Usuario",
IF(Incidencias!#REF!="Proceso","Proceso","NA")),"NA")</f>
        <v>NA</v>
      </c>
    </row>
    <row r="25" spans="1:5" x14ac:dyDescent="0.25">
      <c r="A25" s="19">
        <f>Incidencias!B43</f>
        <v>0</v>
      </c>
      <c r="B25" s="16" t="str">
        <f>IF(Incidencias!E49="Mejora","Mejora","Incidencia")</f>
        <v>Incidencia</v>
      </c>
      <c r="C25" s="8" t="str">
        <f>IF(Incidencias!E49="Mejora","NA",IF(OR(Incidencias!M49="Abierta",Incidencias!M49="En proceso",Incidencias!M49="Info cliente")=TRUE,"En curso",IF(Incidencias!M49="Descartada","Descartada","Entregada")))</f>
        <v>Entregada</v>
      </c>
      <c r="D25" s="8" t="str">
        <f>IF(C25="En curso",
IF(Incidencias!#REF!="Sí","Bloqueante",
IF(Incidencias!#REF!="No","No bloqueante","NA")),"NA")</f>
        <v>NA</v>
      </c>
      <c r="E25" s="8" t="str">
        <f>IF(C25="En curso",
IF(Incidencias!#REF!="Usuario","Usuario",
IF(Incidencias!#REF!="Proceso","Proceso","NA")),"NA")</f>
        <v>NA</v>
      </c>
    </row>
    <row r="26" spans="1:5" x14ac:dyDescent="0.25">
      <c r="A26" s="19">
        <f>Incidencias!B44</f>
        <v>0</v>
      </c>
      <c r="B26" s="16" t="str">
        <f>IF(Incidencias!E50="Mejora","Mejora","Incidencia")</f>
        <v>Incidencia</v>
      </c>
      <c r="C26" s="8" t="str">
        <f>IF(Incidencias!E50="Mejora","NA",IF(OR(Incidencias!M50="Abierta",Incidencias!M50="En proceso",Incidencias!M50="Info cliente")=TRUE,"En curso",IF(Incidencias!M50="Descartada","Descartada","Entregada")))</f>
        <v>Entregada</v>
      </c>
      <c r="D26" s="8" t="str">
        <f>IF(C26="En curso",
IF(Incidencias!#REF!="Sí","Bloqueante",
IF(Incidencias!#REF!="No","No bloqueante","NA")),"NA")</f>
        <v>NA</v>
      </c>
      <c r="E26" s="8" t="str">
        <f>IF(C26="En curso",
IF(Incidencias!#REF!="Usuario","Usuario",
IF(Incidencias!#REF!="Proceso","Proceso","NA")),"NA")</f>
        <v>NA</v>
      </c>
    </row>
    <row r="27" spans="1:5" x14ac:dyDescent="0.25">
      <c r="A27" s="19">
        <f>Incidencias!B45</f>
        <v>0</v>
      </c>
      <c r="B27" s="16" t="str">
        <f>IF(Incidencias!E51="Mejora","Mejora","Incidencia")</f>
        <v>Incidencia</v>
      </c>
      <c r="C27" s="8" t="str">
        <f>IF(Incidencias!E51="Mejora","NA",IF(OR(Incidencias!M51="Abierta",Incidencias!M51="En proceso",Incidencias!M51="Info cliente")=TRUE,"En curso",IF(Incidencias!M51="Descartada","Descartada","Entregada")))</f>
        <v>Entregada</v>
      </c>
      <c r="D27" s="8" t="str">
        <f>IF(C27="En curso",
IF(Incidencias!#REF!="Sí","Bloqueante",
IF(Incidencias!#REF!="No","No bloqueante","NA")),"NA")</f>
        <v>NA</v>
      </c>
      <c r="E27" s="8" t="str">
        <f>IF(C27="En curso",
IF(Incidencias!#REF!="Usuario","Usuario",
IF(Incidencias!#REF!="Proceso","Proceso","NA")),"NA")</f>
        <v>NA</v>
      </c>
    </row>
    <row r="28" spans="1:5" x14ac:dyDescent="0.25">
      <c r="A28" s="19">
        <f>Incidencias!B46</f>
        <v>0</v>
      </c>
      <c r="B28" s="16" t="str">
        <f>IF(Incidencias!E52="Mejora","Mejora","Incidencia")</f>
        <v>Incidencia</v>
      </c>
      <c r="C28" s="8" t="str">
        <f>IF(Incidencias!E52="Mejora","NA",IF(OR(Incidencias!M52="Abierta",Incidencias!M52="En proceso",Incidencias!M52="Info cliente")=TRUE,"En curso",IF(Incidencias!M52="Descartada","Descartada","Entregada")))</f>
        <v>Entregada</v>
      </c>
      <c r="D28" s="8" t="str">
        <f>IF(C28="En curso",
IF(Incidencias!#REF!="Sí","Bloqueante",
IF(Incidencias!#REF!="No","No bloqueante","NA")),"NA")</f>
        <v>NA</v>
      </c>
      <c r="E28" s="8" t="str">
        <f>IF(C28="En curso",
IF(Incidencias!#REF!="Usuario","Usuario",
IF(Incidencias!#REF!="Proceso","Proceso","NA")),"NA")</f>
        <v>NA</v>
      </c>
    </row>
    <row r="29" spans="1:5" x14ac:dyDescent="0.25">
      <c r="A29" s="19">
        <f>Incidencias!B47</f>
        <v>0</v>
      </c>
      <c r="B29" s="16" t="str">
        <f>IF(Incidencias!E53="Mejora","Mejora","Incidencia")</f>
        <v>Incidencia</v>
      </c>
      <c r="C29" s="8" t="str">
        <f>IF(Incidencias!E53="Mejora","NA",IF(OR(Incidencias!M53="Abierta",Incidencias!M53="En proceso",Incidencias!M53="Info cliente")=TRUE,"En curso",IF(Incidencias!M53="Descartada","Descartada","Entregada")))</f>
        <v>Entregada</v>
      </c>
      <c r="D29" s="8" t="str">
        <f>IF(C29="En curso",
IF(Incidencias!#REF!="Sí","Bloqueante",
IF(Incidencias!#REF!="No","No bloqueante","NA")),"NA")</f>
        <v>NA</v>
      </c>
      <c r="E29" s="8" t="str">
        <f>IF(C29="En curso",
IF(Incidencias!#REF!="Usuario","Usuario",
IF(Incidencias!#REF!="Proceso","Proceso","NA")),"NA")</f>
        <v>NA</v>
      </c>
    </row>
    <row r="30" spans="1:5" x14ac:dyDescent="0.25">
      <c r="A30" s="19">
        <f>Incidencias!B48</f>
        <v>0</v>
      </c>
      <c r="B30" s="16" t="str">
        <f>IF(Incidencias!E54="Mejora","Mejora","Incidencia")</f>
        <v>Incidencia</v>
      </c>
      <c r="C30" s="8" t="str">
        <f>IF(Incidencias!E54="Mejora","NA",IF(OR(Incidencias!M54="Abierta",Incidencias!M54="En proceso",Incidencias!M54="Info cliente")=TRUE,"En curso",IF(Incidencias!M54="Descartada","Descartada","Entregada")))</f>
        <v>Entregada</v>
      </c>
      <c r="D30" s="8" t="str">
        <f>IF(C30="En curso",
IF(Incidencias!#REF!="Sí","Bloqueante",
IF(Incidencias!#REF!="No","No bloqueante","NA")),"NA")</f>
        <v>NA</v>
      </c>
      <c r="E30" s="8" t="str">
        <f>IF(C30="En curso",
IF(Incidencias!#REF!="Usuario","Usuario",
IF(Incidencias!#REF!="Proceso","Proceso","NA")),"NA")</f>
        <v>NA</v>
      </c>
    </row>
    <row r="31" spans="1:5" x14ac:dyDescent="0.25">
      <c r="A31" s="19">
        <f>Incidencias!B49</f>
        <v>0</v>
      </c>
      <c r="B31" s="16" t="str">
        <f>IF(Incidencias!E55="Mejora","Mejora","Incidencia")</f>
        <v>Incidencia</v>
      </c>
      <c r="C31" s="8" t="str">
        <f>IF(Incidencias!E55="Mejora","NA",IF(OR(Incidencias!M55="Abierta",Incidencias!M55="En proceso",Incidencias!M55="Info cliente")=TRUE,"En curso",IF(Incidencias!M55="Descartada","Descartada","Entregada")))</f>
        <v>Entregada</v>
      </c>
      <c r="D31" s="8" t="str">
        <f>IF(C31="En curso",
IF(Incidencias!#REF!="Sí","Bloqueante",
IF(Incidencias!#REF!="No","No bloqueante","NA")),"NA")</f>
        <v>NA</v>
      </c>
      <c r="E31" s="8" t="str">
        <f>IF(C31="En curso",
IF(Incidencias!#REF!="Usuario","Usuario",
IF(Incidencias!#REF!="Proceso","Proceso","NA")),"NA")</f>
        <v>NA</v>
      </c>
    </row>
    <row r="32" spans="1:5" x14ac:dyDescent="0.25">
      <c r="A32" s="19">
        <f>Incidencias!B50</f>
        <v>0</v>
      </c>
      <c r="B32" s="16" t="str">
        <f>IF(Incidencias!E56="Mejora","Mejora","Incidencia")</f>
        <v>Incidencia</v>
      </c>
      <c r="C32" s="8" t="str">
        <f>IF(Incidencias!E56="Mejora","NA",IF(OR(Incidencias!M56="Abierta",Incidencias!M56="En proceso",Incidencias!M56="Info cliente")=TRUE,"En curso",IF(Incidencias!M56="Descartada","Descartada","Entregada")))</f>
        <v>Entregada</v>
      </c>
      <c r="D32" s="8" t="str">
        <f>IF(C32="En curso",
IF(Incidencias!#REF!="Sí","Bloqueante",
IF(Incidencias!#REF!="No","No bloqueante","NA")),"NA")</f>
        <v>NA</v>
      </c>
      <c r="E32" s="8" t="str">
        <f>IF(C32="En curso",
IF(Incidencias!#REF!="Usuario","Usuario",
IF(Incidencias!#REF!="Proceso","Proceso","NA")),"NA")</f>
        <v>NA</v>
      </c>
    </row>
    <row r="33" spans="1:5" x14ac:dyDescent="0.25">
      <c r="A33" s="19">
        <f>Incidencias!B51</f>
        <v>0</v>
      </c>
      <c r="B33" s="16" t="str">
        <f>IF(Incidencias!E57="Mejora","Mejora","Incidencia")</f>
        <v>Incidencia</v>
      </c>
      <c r="C33" s="8" t="str">
        <f>IF(Incidencias!E57="Mejora","NA",IF(OR(Incidencias!M57="Abierta",Incidencias!M57="En proceso",Incidencias!M57="Info cliente")=TRUE,"En curso",IF(Incidencias!M57="Descartada","Descartada","Entregada")))</f>
        <v>Entregada</v>
      </c>
      <c r="D33" s="8" t="str">
        <f>IF(C33="En curso",
IF(Incidencias!#REF!="Sí","Bloqueante",
IF(Incidencias!#REF!="No","No bloqueante","NA")),"NA")</f>
        <v>NA</v>
      </c>
      <c r="E33" s="8" t="str">
        <f>IF(C33="En curso",
IF(Incidencias!#REF!="Usuario","Usuario",
IF(Incidencias!#REF!="Proceso","Proceso","NA")),"NA")</f>
        <v>NA</v>
      </c>
    </row>
    <row r="34" spans="1:5" x14ac:dyDescent="0.25">
      <c r="A34" s="19">
        <f>Incidencias!B52</f>
        <v>0</v>
      </c>
      <c r="B34" s="16" t="str">
        <f>IF(Incidencias!E58="Mejora","Mejora","Incidencia")</f>
        <v>Incidencia</v>
      </c>
      <c r="C34" s="8" t="str">
        <f>IF(Incidencias!E58="Mejora","NA",IF(OR(Incidencias!M58="Abierta",Incidencias!M58="En proceso",Incidencias!M58="Info cliente")=TRUE,"En curso",IF(Incidencias!M58="Descartada","Descartada","Entregada")))</f>
        <v>Entregada</v>
      </c>
      <c r="D34" s="8" t="str">
        <f>IF(C34="En curso",
IF(Incidencias!#REF!="Sí","Bloqueante",
IF(Incidencias!#REF!="No","No bloqueante","NA")),"NA")</f>
        <v>NA</v>
      </c>
      <c r="E34" s="8" t="str">
        <f>IF(C34="En curso",
IF(Incidencias!#REF!="Usuario","Usuario",
IF(Incidencias!#REF!="Proceso","Proceso","NA")),"NA")</f>
        <v>NA</v>
      </c>
    </row>
    <row r="35" spans="1:5" x14ac:dyDescent="0.25">
      <c r="A35" s="19">
        <f>Incidencias!B53</f>
        <v>0</v>
      </c>
      <c r="B35" s="16" t="str">
        <f>IF(Incidencias!E59="Mejora","Mejora","Incidencia")</f>
        <v>Incidencia</v>
      </c>
      <c r="C35" s="8" t="str">
        <f>IF(Incidencias!E59="Mejora","NA",IF(OR(Incidencias!M59="Abierta",Incidencias!M59="En proceso",Incidencias!M59="Info cliente")=TRUE,"En curso",IF(Incidencias!M59="Descartada","Descartada","Entregada")))</f>
        <v>Entregada</v>
      </c>
      <c r="D35" s="8" t="str">
        <f>IF(C35="En curso",
IF(Incidencias!#REF!="Sí","Bloqueante",
IF(Incidencias!#REF!="No","No bloqueante","NA")),"NA")</f>
        <v>NA</v>
      </c>
      <c r="E35" s="8" t="str">
        <f>IF(C35="En curso",
IF(Incidencias!#REF!="Usuario","Usuario",
IF(Incidencias!#REF!="Proceso","Proceso","NA")),"NA")</f>
        <v>NA</v>
      </c>
    </row>
    <row r="36" spans="1:5" x14ac:dyDescent="0.25">
      <c r="A36" s="19">
        <f>Incidencias!B54</f>
        <v>0</v>
      </c>
      <c r="B36" s="16" t="str">
        <f>IF(Incidencias!E60="Mejora","Mejora","Incidencia")</f>
        <v>Incidencia</v>
      </c>
      <c r="C36" s="8" t="str">
        <f>IF(Incidencias!E60="Mejora","NA",IF(OR(Incidencias!M60="Abierta",Incidencias!M60="En proceso",Incidencias!M60="Info cliente")=TRUE,"En curso",IF(Incidencias!M60="Descartada","Descartada","Entregada")))</f>
        <v>Entregada</v>
      </c>
      <c r="D36" s="8" t="str">
        <f>IF(C36="En curso",
IF(Incidencias!#REF!="Sí","Bloqueante",
IF(Incidencias!#REF!="No","No bloqueante","NA")),"NA")</f>
        <v>NA</v>
      </c>
      <c r="E36" s="8" t="str">
        <f>IF(C36="En curso",
IF(Incidencias!#REF!="Usuario","Usuario",
IF(Incidencias!#REF!="Proceso","Proceso","NA")),"NA")</f>
        <v>NA</v>
      </c>
    </row>
    <row r="37" spans="1:5" x14ac:dyDescent="0.25">
      <c r="A37" s="19">
        <f>Incidencias!B55</f>
        <v>0</v>
      </c>
      <c r="B37" s="16" t="str">
        <f>IF(Incidencias!E62="Mejora","Mejora","Incidencia")</f>
        <v>Incidencia</v>
      </c>
      <c r="C37" s="8" t="str">
        <f>IF(Incidencias!E62="Mejora","NA",IF(OR(Incidencias!M62="Abierta",Incidencias!M62="En proceso",Incidencias!M62="Info cliente")=TRUE,"En curso",IF(Incidencias!M62="Descartada","Descartada","Entregada")))</f>
        <v>Entregada</v>
      </c>
      <c r="D37" s="8" t="str">
        <f>IF(C37="En curso",
IF(Incidencias!#REF!="Sí","Bloqueante",
IF(Incidencias!#REF!="No","No bloqueante","NA")),"NA")</f>
        <v>NA</v>
      </c>
      <c r="E37" s="8" t="str">
        <f>IF(C37="En curso",
IF(Incidencias!#REF!="Usuario","Usuario",
IF(Incidencias!#REF!="Proceso","Proceso","NA")),"NA")</f>
        <v>NA</v>
      </c>
    </row>
    <row r="38" spans="1:5" x14ac:dyDescent="0.25">
      <c r="A38" s="19">
        <f>Incidencias!B56</f>
        <v>0</v>
      </c>
      <c r="B38" s="16" t="str">
        <f>IF(Incidencias!E63="Mejora","Mejora","Incidencia")</f>
        <v>Incidencia</v>
      </c>
      <c r="C38" s="8" t="str">
        <f>IF(Incidencias!E63="Mejora","NA",IF(OR(Incidencias!M63="Abierta",Incidencias!M63="En proceso",Incidencias!M63="Info cliente")=TRUE,"En curso",IF(Incidencias!M63="Descartada","Descartada","Entregada")))</f>
        <v>Entregada</v>
      </c>
      <c r="D38" s="8" t="str">
        <f>IF(C38="En curso",
IF(Incidencias!#REF!="Sí","Bloqueante",
IF(Incidencias!#REF!="No","No bloqueante","NA")),"NA")</f>
        <v>NA</v>
      </c>
      <c r="E38" s="8" t="str">
        <f>IF(C38="En curso",
IF(Incidencias!#REF!="Usuario","Usuario",
IF(Incidencias!#REF!="Proceso","Proceso","NA")),"NA")</f>
        <v>NA</v>
      </c>
    </row>
    <row r="39" spans="1:5" x14ac:dyDescent="0.25">
      <c r="A39" s="19">
        <f>Incidencias!B57</f>
        <v>0</v>
      </c>
      <c r="B39" s="16" t="str">
        <f>IF(Incidencias!E65="Mejora","Mejora","Incidencia")</f>
        <v>Incidencia</v>
      </c>
      <c r="C39" s="8" t="str">
        <f>IF(Incidencias!E65="Mejora","NA",IF(OR(Incidencias!M65="Abierta",Incidencias!M65="En proceso",Incidencias!M65="Info cliente")=TRUE,"En curso",IF(Incidencias!M65="Descartada","Descartada","Entregada")))</f>
        <v>Entregada</v>
      </c>
      <c r="D39" s="8" t="str">
        <f>IF(C39="En curso",
IF(Incidencias!#REF!="Sí","Bloqueante",
IF(Incidencias!#REF!="No","No bloqueante","NA")),"NA")</f>
        <v>NA</v>
      </c>
      <c r="E39" s="8" t="str">
        <f>IF(C39="En curso",
IF(Incidencias!#REF!="Usuario","Usuario",
IF(Incidencias!#REF!="Proceso","Proceso","NA")),"NA")</f>
        <v>NA</v>
      </c>
    </row>
    <row r="40" spans="1:5" x14ac:dyDescent="0.25">
      <c r="A40" s="19">
        <f>Incidencias!B58</f>
        <v>0</v>
      </c>
      <c r="B40" s="16" t="str">
        <f>IF(Incidencias!E66="Mejora","Mejora","Incidencia")</f>
        <v>Incidencia</v>
      </c>
      <c r="C40" s="8" t="str">
        <f>IF(Incidencias!E66="Mejora","NA",IF(OR(Incidencias!M66="Abierta",Incidencias!M66="En proceso",Incidencias!M66="Info cliente")=TRUE,"En curso",IF(Incidencias!M66="Descartada","Descartada","Entregada")))</f>
        <v>Entregada</v>
      </c>
      <c r="D40" s="8" t="str">
        <f>IF(C40="En curso",
IF(Incidencias!#REF!="Sí","Bloqueante",
IF(Incidencias!#REF!="No","No bloqueante","NA")),"NA")</f>
        <v>NA</v>
      </c>
      <c r="E40" s="8" t="str">
        <f>IF(C40="En curso",
IF(Incidencias!#REF!="Usuario","Usuario",
IF(Incidencias!#REF!="Proceso","Proceso","NA")),"NA")</f>
        <v>NA</v>
      </c>
    </row>
    <row r="41" spans="1:5" x14ac:dyDescent="0.25">
      <c r="A41" s="19">
        <f>Incidencias!B59</f>
        <v>0</v>
      </c>
      <c r="B41" s="16" t="str">
        <f>IF(Incidencias!E67="Mejora","Mejora","Incidencia")</f>
        <v>Incidencia</v>
      </c>
      <c r="C41" s="8" t="str">
        <f>IF(Incidencias!E67="Mejora","NA",IF(OR(Incidencias!M67="Abierta",Incidencias!M67="En proceso",Incidencias!M67="Info cliente")=TRUE,"En curso",IF(Incidencias!M67="Descartada","Descartada","Entregada")))</f>
        <v>Entregada</v>
      </c>
      <c r="D41" s="8" t="str">
        <f>IF(C41="En curso",
IF(Incidencias!#REF!="Sí","Bloqueante",
IF(Incidencias!#REF!="No","No bloqueante","NA")),"NA")</f>
        <v>NA</v>
      </c>
      <c r="E41" s="8" t="str">
        <f>IF(C41="En curso",
IF(Incidencias!#REF!="Usuario","Usuario",
IF(Incidencias!#REF!="Proceso","Proceso","NA")),"NA")</f>
        <v>NA</v>
      </c>
    </row>
    <row r="42" spans="1:5" x14ac:dyDescent="0.25">
      <c r="A42" s="19">
        <f>Incidencias!B60</f>
        <v>0</v>
      </c>
      <c r="B42" s="16" t="e">
        <f>IF(Incidencias!#REF!="Mejora","Mejora","Incidencia")</f>
        <v>#REF!</v>
      </c>
      <c r="C42" s="8" t="e">
        <f>IF(Incidencias!#REF!="Mejora","NA",IF(OR(Incidencias!#REF!="Abierta",Incidencias!#REF!="En proceso",Incidencias!#REF!="Info cliente")=TRUE,"En curso",IF(Incidencias!#REF!="Descartada","Descartada","Entregada")))</f>
        <v>#REF!</v>
      </c>
      <c r="D42" s="8" t="e">
        <f>IF(C42="En curso",
IF(Incidencias!#REF!="Sí","Bloqueante",
IF(Incidencias!#REF!="No","No bloqueante","NA")),"NA")</f>
        <v>#REF!</v>
      </c>
      <c r="E42" s="8" t="e">
        <f>IF(C42="En curso",
IF(Incidencias!#REF!="Usuario","Usuario",
IF(Incidencias!#REF!="Proceso","Proceso","NA")),"NA")</f>
        <v>#REF!</v>
      </c>
    </row>
    <row r="43" spans="1:5" x14ac:dyDescent="0.25">
      <c r="A43" s="19">
        <f>Incidencias!B61</f>
        <v>0</v>
      </c>
      <c r="B43" s="16" t="str">
        <f>IF(Incidencias!E68="Mejora","Mejora","Incidencia")</f>
        <v>Incidencia</v>
      </c>
      <c r="C43" s="8" t="str">
        <f>IF(Incidencias!E68="Mejora","NA",IF(OR(Incidencias!M68="Abierta",Incidencias!M68="En proceso",Incidencias!M68="Info cliente")=TRUE,"En curso",IF(Incidencias!M68="Descartada","Descartada","Entregada")))</f>
        <v>Entregada</v>
      </c>
      <c r="D43" s="8" t="str">
        <f>IF(C43="En curso",
IF(Incidencias!#REF!="Sí","Bloqueante",
IF(Incidencias!#REF!="No","No bloqueante","NA")),"NA")</f>
        <v>NA</v>
      </c>
      <c r="E43" s="8" t="str">
        <f>IF(C43="En curso",
IF(Incidencias!#REF!="Usuario","Usuario",
IF(Incidencias!#REF!="Proceso","Proceso","NA")),"NA")</f>
        <v>NA</v>
      </c>
    </row>
    <row r="44" spans="1:5" x14ac:dyDescent="0.25">
      <c r="A44" s="19">
        <f>Incidencias!B62</f>
        <v>0</v>
      </c>
      <c r="B44" s="16" t="str">
        <f>IF(Incidencias!E69="Mejora","Mejora","Incidencia")</f>
        <v>Incidencia</v>
      </c>
      <c r="C44" s="8" t="str">
        <f>IF(Incidencias!E69="Mejora","NA",IF(OR(Incidencias!M69="Abierta",Incidencias!M69="En proceso",Incidencias!M69="Info cliente")=TRUE,"En curso",IF(Incidencias!M69="Descartada","Descartada","Entregada")))</f>
        <v>Entregada</v>
      </c>
      <c r="D44" s="8" t="str">
        <f>IF(C44="En curso",
IF(Incidencias!#REF!="Sí","Bloqueante",
IF(Incidencias!#REF!="No","No bloqueante","NA")),"NA")</f>
        <v>NA</v>
      </c>
      <c r="E44" s="8" t="str">
        <f>IF(C44="En curso",
IF(Incidencias!#REF!="Usuario","Usuario",
IF(Incidencias!#REF!="Proceso","Proceso","NA")),"NA")</f>
        <v>NA</v>
      </c>
    </row>
    <row r="45" spans="1:5" x14ac:dyDescent="0.25">
      <c r="A45" s="19">
        <f>Incidencias!B63</f>
        <v>0</v>
      </c>
      <c r="B45" s="16" t="str">
        <f>IF(Incidencias!E70="Mejora","Mejora","Incidencia")</f>
        <v>Incidencia</v>
      </c>
      <c r="C45" s="8" t="str">
        <f>IF(Incidencias!E70="Mejora","NA",IF(OR(Incidencias!M70="Abierta",Incidencias!M70="En proceso",Incidencias!M70="Info cliente")=TRUE,"En curso",IF(Incidencias!M70="Descartada","Descartada","Entregada")))</f>
        <v>Entregada</v>
      </c>
      <c r="D45" s="8" t="str">
        <f>IF(C45="En curso",
IF(Incidencias!#REF!="Sí","Bloqueante",
IF(Incidencias!#REF!="No","No bloqueante","NA")),"NA")</f>
        <v>NA</v>
      </c>
      <c r="E45" s="8" t="str">
        <f>IF(C45="En curso",
IF(Incidencias!#REF!="Usuario","Usuario",
IF(Incidencias!#REF!="Proceso","Proceso","NA")),"NA")</f>
        <v>NA</v>
      </c>
    </row>
    <row r="46" spans="1:5" x14ac:dyDescent="0.25">
      <c r="A46" s="19">
        <f>Incidencias!B65</f>
        <v>0</v>
      </c>
      <c r="B46" s="16" t="str">
        <f>IF(Incidencias!E71="Mejora","Mejora","Incidencia")</f>
        <v>Incidencia</v>
      </c>
      <c r="C46" s="8" t="str">
        <f>IF(Incidencias!E71="Mejora","NA",IF(OR(Incidencias!M71="Abierta",Incidencias!M71="En proceso",Incidencias!M71="Info cliente")=TRUE,"En curso",IF(Incidencias!M71="Descartada","Descartada","Entregada")))</f>
        <v>Entregada</v>
      </c>
      <c r="D46" s="8" t="str">
        <f>IF(C46="En curso",
IF(Incidencias!#REF!="Sí","Bloqueante",
IF(Incidencias!#REF!="No","No bloqueante","NA")),"NA")</f>
        <v>NA</v>
      </c>
      <c r="E46" s="8" t="str">
        <f>IF(C46="En curso",
IF(Incidencias!#REF!="Usuario","Usuario",
IF(Incidencias!#REF!="Proceso","Proceso","NA")),"NA")</f>
        <v>NA</v>
      </c>
    </row>
    <row r="47" spans="1:5" x14ac:dyDescent="0.25">
      <c r="A47" s="19">
        <f>Incidencias!B66</f>
        <v>0</v>
      </c>
      <c r="B47" s="16" t="str">
        <f>IF(Incidencias!E72="Mejora","Mejora","Incidencia")</f>
        <v>Incidencia</v>
      </c>
      <c r="C47" s="8" t="str">
        <f>IF(Incidencias!E72="Mejora","NA",IF(OR(Incidencias!M72="Abierta",Incidencias!M72="En proceso",Incidencias!M72="Info cliente")=TRUE,"En curso",IF(Incidencias!M72="Descartada","Descartada","Entregada")))</f>
        <v>Entregada</v>
      </c>
      <c r="D47" s="8" t="str">
        <f>IF(C47="En curso",
IF(Incidencias!#REF!="Sí","Bloqueante",
IF(Incidencias!#REF!="No","No bloqueante","NA")),"NA")</f>
        <v>NA</v>
      </c>
      <c r="E47" s="8" t="str">
        <f>IF(C47="En curso",
IF(Incidencias!#REF!="Usuario","Usuario",
IF(Incidencias!#REF!="Proceso","Proceso","NA")),"NA")</f>
        <v>NA</v>
      </c>
    </row>
    <row r="48" spans="1:5" x14ac:dyDescent="0.25">
      <c r="A48" s="19">
        <f>Incidencias!B67</f>
        <v>0</v>
      </c>
      <c r="B48" s="16" t="str">
        <f>IF(Incidencias!E73="Mejora","Mejora","Incidencia")</f>
        <v>Incidencia</v>
      </c>
      <c r="C48" s="8" t="str">
        <f>IF(Incidencias!E73="Mejora","NA",IF(OR(Incidencias!M73="Abierta",Incidencias!M73="En proceso",Incidencias!M73="Info cliente")=TRUE,"En curso",IF(Incidencias!M73="Descartada","Descartada","Entregada")))</f>
        <v>Entregada</v>
      </c>
      <c r="D48" s="8" t="str">
        <f>IF(C48="En curso",
IF(Incidencias!#REF!="Sí","Bloqueante",
IF(Incidencias!#REF!="No","No bloqueante","NA")),"NA")</f>
        <v>NA</v>
      </c>
      <c r="E48" s="8" t="str">
        <f>IF(C48="En curso",
IF(Incidencias!#REF!="Usuario","Usuario",
IF(Incidencias!#REF!="Proceso","Proceso","NA")),"NA")</f>
        <v>NA</v>
      </c>
    </row>
    <row r="49" spans="1:5" x14ac:dyDescent="0.25">
      <c r="A49" s="19" t="e">
        <f>Incidencias!#REF!</f>
        <v>#REF!</v>
      </c>
      <c r="B49" s="16" t="str">
        <f>IF(Incidencias!E74="Mejora","Mejora","Incidencia")</f>
        <v>Incidencia</v>
      </c>
      <c r="C49" s="8" t="str">
        <f>IF(Incidencias!E74="Mejora","NA",IF(OR(Incidencias!M74="Abierta",Incidencias!M74="En proceso",Incidencias!M74="Info cliente")=TRUE,"En curso",IF(Incidencias!M74="Descartada","Descartada","Entregada")))</f>
        <v>Entregada</v>
      </c>
      <c r="D49" s="8" t="str">
        <f>IF(C49="En curso",
IF(Incidencias!#REF!="Sí","Bloqueante",
IF(Incidencias!#REF!="No","No bloqueante","NA")),"NA")</f>
        <v>NA</v>
      </c>
      <c r="E49" s="8" t="str">
        <f>IF(C49="En curso",
IF(Incidencias!#REF!="Usuario","Usuario",
IF(Incidencias!#REF!="Proceso","Proceso","NA")),"NA")</f>
        <v>NA</v>
      </c>
    </row>
    <row r="50" spans="1:5" x14ac:dyDescent="0.25">
      <c r="A50" s="19">
        <f>Incidencias!B68</f>
        <v>0</v>
      </c>
      <c r="B50" s="16" t="str">
        <f>IF(Incidencias!E75="Mejora","Mejora","Incidencia")</f>
        <v>Incidencia</v>
      </c>
      <c r="C50" s="8" t="str">
        <f>IF(Incidencias!E75="Mejora","NA",IF(OR(Incidencias!M75="Abierta",Incidencias!M75="En proceso",Incidencias!M75="Info cliente")=TRUE,"En curso",IF(Incidencias!M75="Descartada","Descartada","Entregada")))</f>
        <v>Entregada</v>
      </c>
      <c r="D50" s="8" t="str">
        <f>IF(C50="En curso",
IF(Incidencias!#REF!="Sí","Bloqueante",
IF(Incidencias!#REF!="No","No bloqueante","NA")),"NA")</f>
        <v>NA</v>
      </c>
      <c r="E50" s="8" t="str">
        <f>IF(C50="En curso",
IF(Incidencias!#REF!="Usuario","Usuario",
IF(Incidencias!#REF!="Proceso","Proceso","NA")),"NA")</f>
        <v>NA</v>
      </c>
    </row>
    <row r="51" spans="1:5" x14ac:dyDescent="0.25">
      <c r="A51" s="19">
        <f>Incidencias!B69</f>
        <v>0</v>
      </c>
      <c r="B51" s="16" t="str">
        <f>IF(Incidencias!E76="Mejora","Mejora","Incidencia")</f>
        <v>Incidencia</v>
      </c>
      <c r="C51" s="8" t="str">
        <f>IF(Incidencias!E76="Mejora","NA",IF(OR(Incidencias!M76="Abierta",Incidencias!M76="En proceso",Incidencias!M76="Info cliente")=TRUE,"En curso",IF(Incidencias!M76="Descartada","Descartada","Entregada")))</f>
        <v>Entregada</v>
      </c>
      <c r="D51" s="8" t="str">
        <f>IF(C51="En curso",
IF(Incidencias!#REF!="Sí","Bloqueante",
IF(Incidencias!#REF!="No","No bloqueante","NA")),"NA")</f>
        <v>NA</v>
      </c>
      <c r="E51" s="8" t="str">
        <f>IF(C51="En curso",
IF(Incidencias!#REF!="Usuario","Usuario",
IF(Incidencias!#REF!="Proceso","Proceso","NA")),"NA")</f>
        <v>NA</v>
      </c>
    </row>
    <row r="52" spans="1:5" x14ac:dyDescent="0.25">
      <c r="A52" s="19">
        <f>Incidencias!B70</f>
        <v>0</v>
      </c>
      <c r="B52" s="16" t="str">
        <f>IF(Incidencias!E77="Mejora","Mejora","Incidencia")</f>
        <v>Incidencia</v>
      </c>
      <c r="C52" s="8" t="str">
        <f>IF(Incidencias!E77="Mejora","NA",IF(OR(Incidencias!M77="Abierta",Incidencias!M77="En proceso",Incidencias!M77="Info cliente")=TRUE,"En curso",IF(Incidencias!M77="Descartada","Descartada","Entregada")))</f>
        <v>Entregada</v>
      </c>
      <c r="D52" s="8" t="str">
        <f>IF(C52="En curso",
IF(Incidencias!#REF!="Sí","Bloqueante",
IF(Incidencias!#REF!="No","No bloqueante","NA")),"NA")</f>
        <v>NA</v>
      </c>
      <c r="E52" s="8" t="str">
        <f>IF(C52="En curso",
IF(Incidencias!#REF!="Usuario","Usuario",
IF(Incidencias!#REF!="Proceso","Proceso","NA")),"NA")</f>
        <v>NA</v>
      </c>
    </row>
    <row r="53" spans="1:5" x14ac:dyDescent="0.25">
      <c r="A53" s="19">
        <f>Incidencias!B71</f>
        <v>0</v>
      </c>
      <c r="B53" s="16" t="str">
        <f>IF(Incidencias!E78="Mejora","Mejora","Incidencia")</f>
        <v>Incidencia</v>
      </c>
      <c r="C53" s="8" t="str">
        <f>IF(Incidencias!E78="Mejora","NA",IF(OR(Incidencias!M78="Abierta",Incidencias!M78="En proceso",Incidencias!M78="Info cliente")=TRUE,"En curso",IF(Incidencias!M78="Descartada","Descartada","Entregada")))</f>
        <v>Entregada</v>
      </c>
      <c r="D53" s="8" t="str">
        <f>IF(C53="En curso",
IF(Incidencias!#REF!="Sí","Bloqueante",
IF(Incidencias!#REF!="No","No bloqueante","NA")),"NA")</f>
        <v>NA</v>
      </c>
      <c r="E53" s="8" t="str">
        <f>IF(C53="En curso",
IF(Incidencias!#REF!="Usuario","Usuario",
IF(Incidencias!#REF!="Proceso","Proceso","NA")),"NA")</f>
        <v>NA</v>
      </c>
    </row>
    <row r="54" spans="1:5" x14ac:dyDescent="0.25">
      <c r="A54" s="19">
        <f>Incidencias!B72</f>
        <v>0</v>
      </c>
      <c r="B54" s="16" t="str">
        <f>IF(Incidencias!E79="Mejora","Mejora","Incidencia")</f>
        <v>Incidencia</v>
      </c>
      <c r="C54" s="8" t="str">
        <f>IF(Incidencias!E79="Mejora","NA",IF(OR(Incidencias!M79="Abierta",Incidencias!M79="En proceso",Incidencias!M79="Info cliente")=TRUE,"En curso",IF(Incidencias!M79="Descartada","Descartada","Entregada")))</f>
        <v>Entregada</v>
      </c>
      <c r="D54" s="8" t="str">
        <f>IF(C54="En curso",
IF(Incidencias!#REF!="Sí","Bloqueante",
IF(Incidencias!#REF!="No","No bloqueante","NA")),"NA")</f>
        <v>NA</v>
      </c>
      <c r="E54" s="8" t="str">
        <f>IF(C54="En curso",
IF(Incidencias!#REF!="Usuario","Usuario",
IF(Incidencias!#REF!="Proceso","Proceso","NA")),"NA")</f>
        <v>NA</v>
      </c>
    </row>
    <row r="55" spans="1:5" x14ac:dyDescent="0.25">
      <c r="A55" s="19">
        <f>Incidencias!B73</f>
        <v>0</v>
      </c>
      <c r="B55" s="16" t="str">
        <f>IF(Incidencias!E80="Mejora","Mejora","Incidencia")</f>
        <v>Incidencia</v>
      </c>
      <c r="C55" s="8" t="str">
        <f>IF(Incidencias!E80="Mejora","NA",IF(OR(Incidencias!M80="Abierta",Incidencias!M80="En proceso",Incidencias!M80="Info cliente")=TRUE,"En curso",IF(Incidencias!M80="Descartada","Descartada","Entregada")))</f>
        <v>Entregada</v>
      </c>
      <c r="D55" s="8" t="str">
        <f>IF(C55="En curso",
IF(Incidencias!#REF!="Sí","Bloqueante",
IF(Incidencias!#REF!="No","No bloqueante","NA")),"NA")</f>
        <v>NA</v>
      </c>
      <c r="E55" s="8" t="str">
        <f>IF(C55="En curso",
IF(Incidencias!#REF!="Usuario","Usuario",
IF(Incidencias!#REF!="Proceso","Proceso","NA")),"NA")</f>
        <v>NA</v>
      </c>
    </row>
    <row r="56" spans="1:5" x14ac:dyDescent="0.25">
      <c r="A56" s="19">
        <f>Incidencias!B74</f>
        <v>0</v>
      </c>
      <c r="B56" s="16" t="str">
        <f>IF(Incidencias!E81="Mejora","Mejora","Incidencia")</f>
        <v>Incidencia</v>
      </c>
      <c r="C56" s="8" t="str">
        <f>IF(Incidencias!E81="Mejora","NA",IF(OR(Incidencias!M81="Abierta",Incidencias!M81="En proceso",Incidencias!M81="Info cliente")=TRUE,"En curso",IF(Incidencias!M81="Descartada","Descartada","Entregada")))</f>
        <v>Entregada</v>
      </c>
      <c r="D56" s="8" t="str">
        <f>IF(C56="En curso",
IF(Incidencias!#REF!="Sí","Bloqueante",
IF(Incidencias!#REF!="No","No bloqueante","NA")),"NA")</f>
        <v>NA</v>
      </c>
      <c r="E56" s="8" t="str">
        <f>IF(C56="En curso",
IF(Incidencias!#REF!="Usuario","Usuario",
IF(Incidencias!#REF!="Proceso","Proceso","NA")),"NA")</f>
        <v>NA</v>
      </c>
    </row>
    <row r="57" spans="1:5" x14ac:dyDescent="0.25">
      <c r="A57" s="19">
        <f>Incidencias!B75</f>
        <v>0</v>
      </c>
      <c r="B57" s="16" t="str">
        <f>IF(Incidencias!E82="Mejora","Mejora","Incidencia")</f>
        <v>Incidencia</v>
      </c>
      <c r="C57" s="8" t="str">
        <f>IF(Incidencias!E82="Mejora","NA",IF(OR(Incidencias!M82="Abierta",Incidencias!M82="En proceso",Incidencias!M82="Info cliente")=TRUE,"En curso",IF(Incidencias!M82="Descartada","Descartada","Entregada")))</f>
        <v>Entregada</v>
      </c>
      <c r="D57" s="8" t="str">
        <f>IF(C57="En curso",
IF(Incidencias!#REF!="Sí","Bloqueante",
IF(Incidencias!#REF!="No","No bloqueante","NA")),"NA")</f>
        <v>NA</v>
      </c>
      <c r="E57" s="8" t="str">
        <f>IF(C57="En curso",
IF(Incidencias!#REF!="Usuario","Usuario",
IF(Incidencias!#REF!="Proceso","Proceso","NA")),"NA")</f>
        <v>NA</v>
      </c>
    </row>
    <row r="58" spans="1:5" x14ac:dyDescent="0.25">
      <c r="A58" s="19">
        <f>Incidencias!B76</f>
        <v>0</v>
      </c>
      <c r="B58" s="16" t="str">
        <f>IF(Incidencias!E83="Mejora","Mejora","Incidencia")</f>
        <v>Incidencia</v>
      </c>
      <c r="C58" s="8" t="str">
        <f>IF(Incidencias!E83="Mejora","NA",IF(OR(Incidencias!M83="Abierta",Incidencias!M83="En proceso",Incidencias!M83="Info cliente")=TRUE,"En curso",IF(Incidencias!M83="Descartada","Descartada","Entregada")))</f>
        <v>Entregada</v>
      </c>
      <c r="D58" s="8" t="str">
        <f>IF(C58="En curso",
IF(Incidencias!#REF!="Sí","Bloqueante",
IF(Incidencias!#REF!="No","No bloqueante","NA")),"NA")</f>
        <v>NA</v>
      </c>
      <c r="E58" s="8" t="str">
        <f>IF(C58="En curso",
IF(Incidencias!#REF!="Usuario","Usuario",
IF(Incidencias!#REF!="Proceso","Proceso","NA")),"NA")</f>
        <v>NA</v>
      </c>
    </row>
    <row r="59" spans="1:5" x14ac:dyDescent="0.25">
      <c r="A59" s="19">
        <f>Incidencias!B77</f>
        <v>0</v>
      </c>
      <c r="B59" s="16" t="str">
        <f>IF(Incidencias!E89="Mejora","Mejora","Incidencia")</f>
        <v>Incidencia</v>
      </c>
      <c r="C59" s="8" t="str">
        <f>IF(Incidencias!E89="Mejora","NA",IF(OR(Incidencias!M89="Abierta",Incidencias!M89="En proceso",Incidencias!M89="Info cliente")=TRUE,"En curso",IF(Incidencias!M89="Descartada","Descartada","Entregada")))</f>
        <v>Entregada</v>
      </c>
      <c r="D59" s="8" t="str">
        <f>IF(C59="En curso",
IF(Incidencias!#REF!="Sí","Bloqueante",
IF(Incidencias!#REF!="No","No bloqueante","NA")),"NA")</f>
        <v>NA</v>
      </c>
      <c r="E59" s="8" t="str">
        <f>IF(C59="En curso",
IF(Incidencias!#REF!="Usuario","Usuario",
IF(Incidencias!#REF!="Proceso","Proceso","NA")),"NA")</f>
        <v>NA</v>
      </c>
    </row>
    <row r="60" spans="1:5" x14ac:dyDescent="0.25">
      <c r="A60" s="19">
        <f>Incidencias!B78</f>
        <v>0</v>
      </c>
      <c r="B60" s="16" t="str">
        <f>IF(Incidencias!E90="Mejora","Mejora","Incidencia")</f>
        <v>Incidencia</v>
      </c>
      <c r="C60" s="8" t="str">
        <f>IF(Incidencias!E90="Mejora","NA",IF(OR(Incidencias!M90="Abierta",Incidencias!M90="En proceso",Incidencias!M90="Info cliente")=TRUE,"En curso",IF(Incidencias!M90="Descartada","Descartada","Entregada")))</f>
        <v>Entregada</v>
      </c>
      <c r="D60" s="8" t="str">
        <f>IF(C60="En curso",
IF(Incidencias!#REF!="Sí","Bloqueante",
IF(Incidencias!#REF!="No","No bloqueante","NA")),"NA")</f>
        <v>NA</v>
      </c>
      <c r="E60" s="8" t="str">
        <f>IF(C60="En curso",
IF(Incidencias!#REF!="Usuario","Usuario",
IF(Incidencias!#REF!="Proceso","Proceso","NA")),"NA")</f>
        <v>NA</v>
      </c>
    </row>
    <row r="61" spans="1:5" x14ac:dyDescent="0.25">
      <c r="A61" s="19">
        <f>Incidencias!B79</f>
        <v>0</v>
      </c>
      <c r="B61" s="16" t="str">
        <f>IF(Incidencias!E91="Mejora","Mejora","Incidencia")</f>
        <v>Incidencia</v>
      </c>
      <c r="C61" s="8" t="str">
        <f>IF(Incidencias!E91="Mejora","NA",IF(OR(Incidencias!M91="Abierta",Incidencias!M91="En proceso",Incidencias!M91="Info cliente")=TRUE,"En curso",IF(Incidencias!M91="Descartada","Descartada","Entregada")))</f>
        <v>Entregada</v>
      </c>
      <c r="D61" s="8" t="str">
        <f>IF(C61="En curso",
IF(Incidencias!#REF!="Sí","Bloqueante",
IF(Incidencias!#REF!="No","No bloqueante","NA")),"NA")</f>
        <v>NA</v>
      </c>
      <c r="E61" s="8" t="str">
        <f>IF(C61="En curso",
IF(Incidencias!#REF!="Usuario","Usuario",
IF(Incidencias!#REF!="Proceso","Proceso","NA")),"NA")</f>
        <v>NA</v>
      </c>
    </row>
    <row r="62" spans="1:5" x14ac:dyDescent="0.25">
      <c r="A62" s="19">
        <f>Incidencias!B80</f>
        <v>0</v>
      </c>
      <c r="B62" s="16" t="str">
        <f>IF(Incidencias!E92="Mejora","Mejora","Incidencia")</f>
        <v>Incidencia</v>
      </c>
      <c r="C62" s="8" t="str">
        <f>IF(Incidencias!E92="Mejora","NA",IF(OR(Incidencias!M92="Abierta",Incidencias!M92="En proceso",Incidencias!M92="Info cliente")=TRUE,"En curso",IF(Incidencias!M92="Descartada","Descartada","Entregada")))</f>
        <v>Entregada</v>
      </c>
      <c r="D62" s="8" t="str">
        <f>IF(C62="En curso",
IF(Incidencias!#REF!="Sí","Bloqueante",
IF(Incidencias!#REF!="No","No bloqueante","NA")),"NA")</f>
        <v>NA</v>
      </c>
      <c r="E62" s="8" t="str">
        <f>IF(C62="En curso",
IF(Incidencias!#REF!="Usuario","Usuario",
IF(Incidencias!#REF!="Proceso","Proceso","NA")),"NA")</f>
        <v>NA</v>
      </c>
    </row>
    <row r="63" spans="1:5" x14ac:dyDescent="0.25">
      <c r="A63" s="19">
        <f>Incidencias!B81</f>
        <v>0</v>
      </c>
      <c r="B63" s="16" t="str">
        <f>IF(Incidencias!E93="Mejora","Mejora","Incidencia")</f>
        <v>Incidencia</v>
      </c>
      <c r="C63" s="8" t="str">
        <f>IF(Incidencias!E93="Mejora","NA",IF(OR(Incidencias!M93="Abierta",Incidencias!M93="En proceso",Incidencias!M93="Info cliente")=TRUE,"En curso",IF(Incidencias!M93="Descartada","Descartada","Entregada")))</f>
        <v>Entregada</v>
      </c>
      <c r="D63" s="8" t="str">
        <f>IF(C63="En curso",
IF(Incidencias!#REF!="Sí","Bloqueante",
IF(Incidencias!#REF!="No","No bloqueante","NA")),"NA")</f>
        <v>NA</v>
      </c>
      <c r="E63" s="8" t="str">
        <f>IF(C63="En curso",
IF(Incidencias!#REF!="Usuario","Usuario",
IF(Incidencias!#REF!="Proceso","Proceso","NA")),"NA")</f>
        <v>NA</v>
      </c>
    </row>
    <row r="64" spans="1:5" x14ac:dyDescent="0.25">
      <c r="A64" s="19">
        <f>Incidencias!B82</f>
        <v>0</v>
      </c>
      <c r="B64" s="16" t="str">
        <f>IF(Incidencias!E94="Mejora","Mejora","Incidencia")</f>
        <v>Incidencia</v>
      </c>
      <c r="C64" s="8" t="str">
        <f>IF(Incidencias!E94="Mejora","NA",IF(OR(Incidencias!M94="Abierta",Incidencias!M94="En proceso",Incidencias!M94="Info cliente")=TRUE,"En curso",IF(Incidencias!M94="Descartada","Descartada","Entregada")))</f>
        <v>Entregada</v>
      </c>
      <c r="D64" s="8" t="str">
        <f>IF(C64="En curso",
IF(Incidencias!#REF!="Sí","Bloqueante",
IF(Incidencias!#REF!="No","No bloqueante","NA")),"NA")</f>
        <v>NA</v>
      </c>
      <c r="E64" s="8" t="str">
        <f>IF(C64="En curso",
IF(Incidencias!#REF!="Usuario","Usuario",
IF(Incidencias!#REF!="Proceso","Proceso","NA")),"NA")</f>
        <v>NA</v>
      </c>
    </row>
    <row r="65" spans="1:5" x14ac:dyDescent="0.25">
      <c r="A65" s="19">
        <f>Incidencias!B83</f>
        <v>0</v>
      </c>
      <c r="B65" s="16" t="str">
        <f>IF(Incidencias!E96="Mejora","Mejora","Incidencia")</f>
        <v>Incidencia</v>
      </c>
      <c r="C65" s="8" t="str">
        <f>IF(Incidencias!E96="Mejora","NA",IF(OR(Incidencias!M96="Abierta",Incidencias!M96="En proceso",Incidencias!M96="Info cliente")=TRUE,"En curso",IF(Incidencias!M96="Descartada","Descartada","Entregada")))</f>
        <v>Entregada</v>
      </c>
      <c r="D65" s="8" t="str">
        <f>IF(C65="En curso",
IF(Incidencias!#REF!="Sí","Bloqueante",
IF(Incidencias!#REF!="No","No bloqueante","NA")),"NA")</f>
        <v>NA</v>
      </c>
      <c r="E65" s="8" t="str">
        <f>IF(C65="En curso",
IF(Incidencias!#REF!="Usuario","Usuario",
IF(Incidencias!#REF!="Proceso","Proceso","NA")),"NA")</f>
        <v>NA</v>
      </c>
    </row>
    <row r="66" spans="1:5" x14ac:dyDescent="0.25">
      <c r="A66" s="19">
        <f>Incidencias!B89</f>
        <v>0</v>
      </c>
      <c r="B66" s="16" t="str">
        <f>IF(Incidencias!E97="Mejora","Mejora","Incidencia")</f>
        <v>Incidencia</v>
      </c>
      <c r="C66" s="8" t="str">
        <f>IF(Incidencias!E97="Mejora","NA",IF(OR(Incidencias!M97="Abierta",Incidencias!M97="En proceso",Incidencias!M97="Info cliente")=TRUE,"En curso",IF(Incidencias!M97="Descartada","Descartada","Entregada")))</f>
        <v>Entregada</v>
      </c>
      <c r="D66" s="8" t="str">
        <f>IF(C66="En curso",
IF(Incidencias!#REF!="Sí","Bloqueante",
IF(Incidencias!#REF!="No","No bloqueante","NA")),"NA")</f>
        <v>NA</v>
      </c>
      <c r="E66" s="8" t="str">
        <f>IF(C66="En curso",
IF(Incidencias!#REF!="Usuario","Usuario",
IF(Incidencias!#REF!="Proceso","Proceso","NA")),"NA")</f>
        <v>NA</v>
      </c>
    </row>
    <row r="67" spans="1:5" x14ac:dyDescent="0.25">
      <c r="A67" s="19">
        <f>Incidencias!B90</f>
        <v>0</v>
      </c>
      <c r="B67" s="16" t="str">
        <f>IF(Incidencias!E98="Mejora","Mejora","Incidencia")</f>
        <v>Incidencia</v>
      </c>
      <c r="C67" s="8" t="str">
        <f>IF(Incidencias!E98="Mejora","NA",IF(OR(Incidencias!M98="Abierta",Incidencias!M98="En proceso",Incidencias!M98="Info cliente")=TRUE,"En curso",IF(Incidencias!M98="Descartada","Descartada","Entregada")))</f>
        <v>Entregada</v>
      </c>
      <c r="D67" s="8" t="str">
        <f>IF(C67="En curso",
IF(Incidencias!#REF!="Sí","Bloqueante",
IF(Incidencias!#REF!="No","No bloqueante","NA")),"NA")</f>
        <v>NA</v>
      </c>
      <c r="E67" s="8" t="str">
        <f>IF(C67="En curso",
IF(Incidencias!#REF!="Usuario","Usuario",
IF(Incidencias!#REF!="Proceso","Proceso","NA")),"NA")</f>
        <v>NA</v>
      </c>
    </row>
    <row r="68" spans="1:5" x14ac:dyDescent="0.25">
      <c r="A68" s="19">
        <f>Incidencias!B91</f>
        <v>0</v>
      </c>
      <c r="B68" s="16" t="str">
        <f>IF(Incidencias!E99="Mejora","Mejora","Incidencia")</f>
        <v>Incidencia</v>
      </c>
      <c r="C68" s="8" t="str">
        <f>IF(Incidencias!E99="Mejora","NA",IF(OR(Incidencias!M99="Abierta",Incidencias!M99="En proceso",Incidencias!M99="Info cliente")=TRUE,"En curso",IF(Incidencias!M99="Descartada","Descartada","Entregada")))</f>
        <v>Entregada</v>
      </c>
      <c r="D68" s="8" t="str">
        <f>IF(C68="En curso",
IF(Incidencias!#REF!="Sí","Bloqueante",
IF(Incidencias!#REF!="No","No bloqueante","NA")),"NA")</f>
        <v>NA</v>
      </c>
      <c r="E68" s="8" t="str">
        <f>IF(C68="En curso",
IF(Incidencias!#REF!="Usuario","Usuario",
IF(Incidencias!#REF!="Proceso","Proceso","NA")),"NA")</f>
        <v>NA</v>
      </c>
    </row>
    <row r="69" spans="1:5" x14ac:dyDescent="0.25">
      <c r="A69" s="19">
        <f>Incidencias!B92</f>
        <v>0</v>
      </c>
      <c r="B69" s="16" t="str">
        <f>IF(Incidencias!E100="Mejora","Mejora","Incidencia")</f>
        <v>Incidencia</v>
      </c>
      <c r="C69" s="8" t="str">
        <f>IF(Incidencias!E100="Mejora","NA",IF(OR(Incidencias!M100="Abierta",Incidencias!M100="En proceso",Incidencias!M100="Info cliente")=TRUE,"En curso",IF(Incidencias!M100="Descartada","Descartada","Entregada")))</f>
        <v>Entregada</v>
      </c>
      <c r="D69" s="8" t="str">
        <f>IF(C69="En curso",
IF(Incidencias!#REF!="Sí","Bloqueante",
IF(Incidencias!#REF!="No","No bloqueante","NA")),"NA")</f>
        <v>NA</v>
      </c>
      <c r="E69" s="8" t="str">
        <f>IF(C69="En curso",
IF(Incidencias!#REF!="Usuario","Usuario",
IF(Incidencias!#REF!="Proceso","Proceso","NA")),"NA")</f>
        <v>NA</v>
      </c>
    </row>
    <row r="70" spans="1:5" x14ac:dyDescent="0.25">
      <c r="A70" s="19">
        <f>Incidencias!B93</f>
        <v>0</v>
      </c>
      <c r="B70" s="16" t="e">
        <f>IF(Incidencias!#REF!="Mejora","Mejora","Incidencia")</f>
        <v>#REF!</v>
      </c>
      <c r="C70" s="8" t="e">
        <f>IF(Incidencias!#REF!="Mejora","NA",IF(OR(Incidencias!M105="Abierta",Incidencias!M105="En proceso",Incidencias!M105="Info cliente")=TRUE,"En curso",IF(Incidencias!M105="Descartada","Descartada","Entregada")))</f>
        <v>#REF!</v>
      </c>
      <c r="D70" s="8" t="e">
        <f>IF(C70="En curso",
IF(Incidencias!#REF!="Sí","Bloqueante",
IF(Incidencias!#REF!="No","No bloqueante","NA")),"NA")</f>
        <v>#REF!</v>
      </c>
      <c r="E70" s="8" t="e">
        <f>IF(C70="En curso",
IF(Incidencias!#REF!="Usuario","Usuario",
IF(Incidencias!#REF!="Proceso","Proceso","NA")),"NA")</f>
        <v>#REF!</v>
      </c>
    </row>
    <row r="71" spans="1:5" x14ac:dyDescent="0.25">
      <c r="A71" s="19">
        <f>Incidencias!B94</f>
        <v>0</v>
      </c>
      <c r="B71" s="16" t="str">
        <f>IF(Incidencias!E105="Mejora","Mejora","Incidencia")</f>
        <v>Incidencia</v>
      </c>
      <c r="C71" s="8" t="str">
        <f>IF(Incidencias!E105="Mejora","NA",IF(OR(Incidencias!M106="Abierta",Incidencias!M106="En proceso",Incidencias!M106="Info cliente")=TRUE,"En curso",IF(Incidencias!M106="Descartada","Descartada","Entregada")))</f>
        <v>Entregada</v>
      </c>
      <c r="D71" s="8" t="str">
        <f>IF(C71="En curso",
IF(Incidencias!#REF!="Sí","Bloqueante",
IF(Incidencias!#REF!="No","No bloqueante","NA")),"NA")</f>
        <v>NA</v>
      </c>
      <c r="E71" s="8" t="str">
        <f>IF(C71="En curso",
IF(Incidencias!#REF!="Usuario","Usuario",
IF(Incidencias!#REF!="Proceso","Proceso","NA")),"NA")</f>
        <v>NA</v>
      </c>
    </row>
    <row r="72" spans="1:5" x14ac:dyDescent="0.25">
      <c r="A72" s="19">
        <f>Incidencias!B95</f>
        <v>0</v>
      </c>
      <c r="B72" s="16" t="str">
        <f>IF(Incidencias!E106="Mejora","Mejora","Incidencia")</f>
        <v>Incidencia</v>
      </c>
      <c r="C72" s="8" t="str">
        <f>IF(Incidencias!E106="Mejora","NA",IF(OR(Incidencias!M107="Abierta",Incidencias!M107="En proceso",Incidencias!M107="Info cliente")=TRUE,"En curso",IF(Incidencias!M107="Descartada","Descartada","Entregada")))</f>
        <v>Entregada</v>
      </c>
      <c r="D72" s="8" t="str">
        <f>IF(C72="En curso",
IF(Incidencias!#REF!="Sí","Bloqueante",
IF(Incidencias!#REF!="No","No bloqueante","NA")),"NA")</f>
        <v>NA</v>
      </c>
      <c r="E72" s="8" t="str">
        <f>IF(C72="En curso",
IF(Incidencias!#REF!="Usuario","Usuario",
IF(Incidencias!#REF!="Proceso","Proceso","NA")),"NA")</f>
        <v>NA</v>
      </c>
    </row>
    <row r="73" spans="1:5" x14ac:dyDescent="0.25">
      <c r="A73" s="19">
        <f>Incidencias!B96</f>
        <v>0</v>
      </c>
      <c r="B73" s="16" t="str">
        <f>IF(Incidencias!E107="Mejora","Mejora","Incidencia")</f>
        <v>Incidencia</v>
      </c>
      <c r="C73" s="8" t="str">
        <f>IF(Incidencias!E107="Mejora","NA",IF(OR(Incidencias!M108="Abierta",Incidencias!M108="En proceso",Incidencias!M108="Info cliente")=TRUE,"En curso",IF(Incidencias!M108="Descartada","Descartada","Entregada")))</f>
        <v>Entregada</v>
      </c>
      <c r="D73" s="8" t="str">
        <f>IF(C73="En curso",
IF(Incidencias!#REF!="Sí","Bloqueante",
IF(Incidencias!#REF!="No","No bloqueante","NA")),"NA")</f>
        <v>NA</v>
      </c>
      <c r="E73" s="8" t="str">
        <f>IF(C73="En curso",
IF(Incidencias!#REF!="Usuario","Usuario",
IF(Incidencias!#REF!="Proceso","Proceso","NA")),"NA")</f>
        <v>NA</v>
      </c>
    </row>
    <row r="74" spans="1:5" x14ac:dyDescent="0.25">
      <c r="A74" s="19">
        <f>Incidencias!B97</f>
        <v>0</v>
      </c>
      <c r="B74" s="16" t="str">
        <f>IF(Incidencias!E108="Mejora","Mejora","Incidencia")</f>
        <v>Incidencia</v>
      </c>
      <c r="C74" s="8" t="str">
        <f>IF(Incidencias!E108="Mejora","NA",IF(OR(Incidencias!M109="Abierta",Incidencias!M109="En proceso",Incidencias!M109="Info cliente")=TRUE,"En curso",IF(Incidencias!M109="Descartada","Descartada","Entregada")))</f>
        <v>Entregada</v>
      </c>
      <c r="D74" s="8" t="str">
        <f>IF(C74="En curso",
IF(Incidencias!#REF!="Sí","Bloqueante",
IF(Incidencias!#REF!="No","No bloqueante","NA")),"NA")</f>
        <v>NA</v>
      </c>
      <c r="E74" s="8" t="str">
        <f>IF(C74="En curso",
IF(Incidencias!#REF!="Usuario","Usuario",
IF(Incidencias!#REF!="Proceso","Proceso","NA")),"NA")</f>
        <v>NA</v>
      </c>
    </row>
    <row r="75" spans="1:5" x14ac:dyDescent="0.25">
      <c r="A75" s="19">
        <f>Incidencias!B98</f>
        <v>0</v>
      </c>
      <c r="B75" s="16" t="str">
        <f>IF(Incidencias!E109="Mejora","Mejora","Incidencia")</f>
        <v>Incidencia</v>
      </c>
      <c r="C75" s="8" t="str">
        <f>IF(Incidencias!E109="Mejora","NA",IF(OR(Incidencias!M110="Abierta",Incidencias!M110="En proceso",Incidencias!M110="Info cliente")=TRUE,"En curso",IF(Incidencias!M110="Descartada","Descartada","Entregada")))</f>
        <v>Entregada</v>
      </c>
      <c r="D75" s="8" t="str">
        <f>IF(C75="En curso",
IF(Incidencias!#REF!="Sí","Bloqueante",
IF(Incidencias!#REF!="No","No bloqueante","NA")),"NA")</f>
        <v>NA</v>
      </c>
      <c r="E75" s="8" t="str">
        <f>IF(C75="En curso",
IF(Incidencias!#REF!="Usuario","Usuario",
IF(Incidencias!#REF!="Proceso","Proceso","NA")),"NA")</f>
        <v>NA</v>
      </c>
    </row>
    <row r="76" spans="1:5" x14ac:dyDescent="0.25">
      <c r="A76" s="19">
        <f>Incidencias!B99</f>
        <v>0</v>
      </c>
      <c r="B76" s="16" t="str">
        <f>IF(Incidencias!E110="Mejora","Mejora","Incidencia")</f>
        <v>Incidencia</v>
      </c>
      <c r="C76" s="8" t="str">
        <f>IF(Incidencias!E110="Mejora","NA",IF(OR(Incidencias!M111="Abierta",Incidencias!M111="En proceso",Incidencias!M111="Info cliente")=TRUE,"En curso",IF(Incidencias!M111="Descartada","Descartada","Entregada")))</f>
        <v>Entregada</v>
      </c>
      <c r="D76" s="8" t="str">
        <f>IF(C76="En curso",
IF(Incidencias!#REF!="Sí","Bloqueante",
IF(Incidencias!#REF!="No","No bloqueante","NA")),"NA")</f>
        <v>NA</v>
      </c>
      <c r="E76" s="8" t="str">
        <f>IF(C76="En curso",
IF(Incidencias!#REF!="Usuario","Usuario",
IF(Incidencias!#REF!="Proceso","Proceso","NA")),"NA")</f>
        <v>NA</v>
      </c>
    </row>
    <row r="77" spans="1:5" x14ac:dyDescent="0.25">
      <c r="A77" s="19">
        <f>Incidencias!B100</f>
        <v>0</v>
      </c>
      <c r="B77" s="16" t="str">
        <f>IF(Incidencias!E111="Mejora","Mejora","Incidencia")</f>
        <v>Incidencia</v>
      </c>
      <c r="C77" s="8" t="str">
        <f>IF(Incidencias!E111="Mejora","NA",IF(OR(Incidencias!M112="Abierta",Incidencias!M112="En proceso",Incidencias!M112="Info cliente")=TRUE,"En curso",IF(Incidencias!M112="Descartada","Descartada","Entregada")))</f>
        <v>Entregada</v>
      </c>
      <c r="D77" s="8" t="str">
        <f>IF(C77="En curso",
IF(Incidencias!#REF!="Sí","Bloqueante",
IF(Incidencias!#REF!="No","No bloqueante","NA")),"NA")</f>
        <v>NA</v>
      </c>
      <c r="E77" s="8" t="str">
        <f>IF(C77="En curso",
IF(Incidencias!#REF!="Usuario","Usuario",
IF(Incidencias!#REF!="Proceso","Proceso","NA")),"NA")</f>
        <v>NA</v>
      </c>
    </row>
    <row r="78" spans="1:5" x14ac:dyDescent="0.25">
      <c r="A78" s="19">
        <f>Incidencias!B103</f>
        <v>0</v>
      </c>
      <c r="B78" s="16" t="str">
        <f>IF(Incidencias!E112="Mejora","Mejora","Incidencia")</f>
        <v>Incidencia</v>
      </c>
      <c r="C78" s="8" t="str">
        <f>IF(Incidencias!E112="Mejora","NA",IF(OR(Incidencias!M113="Abierta",Incidencias!M113="En proceso",Incidencias!M113="Info cliente")=TRUE,"En curso",IF(Incidencias!M113="Descartada","Descartada","Entregada")))</f>
        <v>Entregada</v>
      </c>
      <c r="D78" s="8" t="str">
        <f>IF(C78="En curso",
IF(Incidencias!#REF!="Sí","Bloqueante",
IF(Incidencias!#REF!="No","No bloqueante","NA")),"NA")</f>
        <v>NA</v>
      </c>
      <c r="E78" s="8" t="str">
        <f>IF(C78="En curso",
IF(Incidencias!#REF!="Usuario","Usuario",
IF(Incidencias!#REF!="Proceso","Proceso","NA")),"NA")</f>
        <v>NA</v>
      </c>
    </row>
    <row r="79" spans="1:5" x14ac:dyDescent="0.25">
      <c r="A79" s="19">
        <f>Incidencias!B104</f>
        <v>0</v>
      </c>
      <c r="B79" s="16" t="str">
        <f>IF(Incidencias!E113="Mejora","Mejora","Incidencia")</f>
        <v>Incidencia</v>
      </c>
      <c r="C79" s="8" t="str">
        <f>IF(Incidencias!E113="Mejora","NA",IF(OR(Incidencias!M114="Abierta",Incidencias!M114="En proceso",Incidencias!M114="Info cliente")=TRUE,"En curso",IF(Incidencias!M114="Descartada","Descartada","Entregada")))</f>
        <v>Entregada</v>
      </c>
      <c r="D79" s="8" t="str">
        <f>IF(C79="En curso",
IF(Incidencias!#REF!="Sí","Bloqueante",
IF(Incidencias!#REF!="No","No bloqueante","NA")),"NA")</f>
        <v>NA</v>
      </c>
      <c r="E79" s="8" t="str">
        <f>IF(C79="En curso",
IF(Incidencias!#REF!="Usuario","Usuario",
IF(Incidencias!#REF!="Proceso","Proceso","NA")),"NA")</f>
        <v>NA</v>
      </c>
    </row>
    <row r="80" spans="1:5" x14ac:dyDescent="0.25">
      <c r="A80" s="19">
        <f>Incidencias!B105</f>
        <v>0</v>
      </c>
      <c r="B80" s="16" t="str">
        <f>IF(Incidencias!E114="Mejora","Mejora","Incidencia")</f>
        <v>Incidencia</v>
      </c>
      <c r="C80" s="8" t="e">
        <f>IF(Incidencias!E114="Mejora","NA",IF(OR(Incidencias!#REF!="Abierta",Incidencias!#REF!="En proceso",Incidencias!#REF!="Info cliente")=TRUE,"En curso",IF(Incidencias!#REF!="Descartada","Descartada","Entregada")))</f>
        <v>#REF!</v>
      </c>
      <c r="D80" s="8" t="e">
        <f>IF(C80="En curso",
IF(Incidencias!#REF!="Sí","Bloqueante",
IF(Incidencias!#REF!="No","No bloqueante","NA")),"NA")</f>
        <v>#REF!</v>
      </c>
      <c r="E80" s="8" t="e">
        <f>IF(C80="En curso",
IF(Incidencias!#REF!="Usuario","Usuario",
IF(Incidencias!#REF!="Proceso","Proceso","NA")),"NA")</f>
        <v>#REF!</v>
      </c>
    </row>
    <row r="81" spans="1:5" x14ac:dyDescent="0.25">
      <c r="A81" s="19">
        <f>Incidencias!B106</f>
        <v>0</v>
      </c>
      <c r="B81" s="16" t="e">
        <f>IF(Incidencias!#REF!="Mejora","Mejora","Incidencia")</f>
        <v>#REF!</v>
      </c>
      <c r="C81" s="8" t="e">
        <f>IF(Incidencias!#REF!="Mejora","NA",IF(OR(Incidencias!#REF!="Abierta",Incidencias!#REF!="En proceso",Incidencias!#REF!="Info cliente")=TRUE,"En curso",IF(Incidencias!#REF!="Descartada","Descartada","Entregada")))</f>
        <v>#REF!</v>
      </c>
      <c r="D81" s="8" t="e">
        <f>IF(C81="En curso",
IF(Incidencias!#REF!="Sí","Bloqueante",
IF(Incidencias!#REF!="No","No bloqueante","NA")),"NA")</f>
        <v>#REF!</v>
      </c>
      <c r="E81" s="8" t="e">
        <f>IF(C81="En curso",
IF(Incidencias!#REF!="Usuario","Usuario",
IF(Incidencias!#REF!="Proceso","Proceso","NA")),"NA")</f>
        <v>#REF!</v>
      </c>
    </row>
    <row r="82" spans="1:5" x14ac:dyDescent="0.25">
      <c r="A82" s="19">
        <f>Incidencias!B107</f>
        <v>0</v>
      </c>
      <c r="B82" s="16" t="e">
        <f>IF(Incidencias!#REF!="Mejora","Mejora","Incidencia")</f>
        <v>#REF!</v>
      </c>
      <c r="C82" s="8" t="e">
        <f>IF(Incidencias!#REF!="Mejora","NA",IF(OR(Incidencias!#REF!="Abierta",Incidencias!#REF!="En proceso",Incidencias!#REF!="Info cliente")=TRUE,"En curso",IF(Incidencias!#REF!="Descartada","Descartada","Entregada")))</f>
        <v>#REF!</v>
      </c>
      <c r="D82" s="8" t="e">
        <f>IF(C82="En curso",
IF(Incidencias!#REF!="Sí","Bloqueante",
IF(Incidencias!#REF!="No","No bloqueante","NA")),"NA")</f>
        <v>#REF!</v>
      </c>
      <c r="E82" s="8" t="e">
        <f>IF(C82="En curso",
IF(Incidencias!#REF!="Usuario","Usuario",
IF(Incidencias!#REF!="Proceso","Proceso","NA")),"NA")</f>
        <v>#REF!</v>
      </c>
    </row>
    <row r="83" spans="1:5" x14ac:dyDescent="0.25">
      <c r="A83" s="19">
        <f>Incidencias!B108</f>
        <v>0</v>
      </c>
      <c r="B83" s="16" t="e">
        <f>IF(Incidencias!#REF!="Mejora","Mejora","Incidencia")</f>
        <v>#REF!</v>
      </c>
      <c r="C83" s="8" t="e">
        <f>IF(Incidencias!#REF!="Mejora","NA",IF(OR(Incidencias!#REF!="Abierta",Incidencias!#REF!="En proceso",Incidencias!#REF!="Info cliente")=TRUE,"En curso",IF(Incidencias!#REF!="Descartada","Descartada","Entregada")))</f>
        <v>#REF!</v>
      </c>
      <c r="D83" s="8" t="e">
        <f>IF(C83="En curso",
IF(Incidencias!#REF!="Sí","Bloqueante",
IF(Incidencias!#REF!="No","No bloqueante","NA")),"NA")</f>
        <v>#REF!</v>
      </c>
      <c r="E83" s="8" t="e">
        <f>IF(C83="En curso",
IF(Incidencias!#REF!="Usuario","Usuario",
IF(Incidencias!#REF!="Proceso","Proceso","NA")),"NA")</f>
        <v>#REF!</v>
      </c>
    </row>
    <row r="84" spans="1:5" x14ac:dyDescent="0.25">
      <c r="A84" s="19">
        <f>Incidencias!B109</f>
        <v>0</v>
      </c>
      <c r="B84" s="16" t="str">
        <f>IF(Incidencias!E115="Mejora","Mejora","Incidencia")</f>
        <v>Incidencia</v>
      </c>
      <c r="C84" s="8" t="str">
        <f>IF(Incidencias!E115="Mejora","NA",IF(OR(Incidencias!M115="Abierta",Incidencias!M115="En proceso",Incidencias!M115="Info cliente")=TRUE,"En curso",IF(Incidencias!M115="Descartada","Descartada","Entregada")))</f>
        <v>Entregada</v>
      </c>
      <c r="D84" s="8" t="str">
        <f>IF(C84="En curso",
IF(Incidencias!#REF!="Sí","Bloqueante",
IF(Incidencias!#REF!="No","No bloqueante","NA")),"NA")</f>
        <v>NA</v>
      </c>
      <c r="E84" s="8" t="str">
        <f>IF(C84="En curso",
IF(Incidencias!#REF!="Usuario","Usuario",
IF(Incidencias!#REF!="Proceso","Proceso","NA")),"NA")</f>
        <v>NA</v>
      </c>
    </row>
    <row r="85" spans="1:5" x14ac:dyDescent="0.25">
      <c r="A85" s="19">
        <f>Incidencias!B110</f>
        <v>0</v>
      </c>
      <c r="B85" s="16" t="str">
        <f>IF(Incidencias!E116="Mejora","Mejora","Incidencia")</f>
        <v>Incidencia</v>
      </c>
      <c r="C85" s="8" t="str">
        <f>IF(Incidencias!E116="Mejora","NA",IF(OR(Incidencias!M116="Abierta",Incidencias!M116="En proceso",Incidencias!M116="Info cliente")=TRUE,"En curso",IF(Incidencias!M116="Descartada","Descartada","Entregada")))</f>
        <v>Entregada</v>
      </c>
      <c r="D85" s="8" t="str">
        <f>IF(C85="En curso",
IF(Incidencias!#REF!="Sí","Bloqueante",
IF(Incidencias!#REF!="No","No bloqueante","NA")),"NA")</f>
        <v>NA</v>
      </c>
      <c r="E85" s="8" t="str">
        <f>IF(C85="En curso",
IF(Incidencias!#REF!="Usuario","Usuario",
IF(Incidencias!#REF!="Proceso","Proceso","NA")),"NA")</f>
        <v>NA</v>
      </c>
    </row>
    <row r="86" spans="1:5" x14ac:dyDescent="0.25">
      <c r="A86" s="19">
        <f>Incidencias!B111</f>
        <v>0</v>
      </c>
      <c r="B86" s="16" t="str">
        <f>IF(Incidencias!E117="Mejora","Mejora","Incidencia")</f>
        <v>Incidencia</v>
      </c>
      <c r="C86" s="8" t="str">
        <f>IF(Incidencias!E117="Mejora","NA",IF(OR(Incidencias!M117="Abierta",Incidencias!M117="En proceso",Incidencias!M117="Info cliente")=TRUE,"En curso",IF(Incidencias!M117="Descartada","Descartada","Entregada")))</f>
        <v>Entregada</v>
      </c>
      <c r="D86" s="8" t="str">
        <f>IF(C86="En curso",
IF(Incidencias!#REF!="Sí","Bloqueante",
IF(Incidencias!#REF!="No","No bloqueante","NA")),"NA")</f>
        <v>NA</v>
      </c>
      <c r="E86" s="8" t="str">
        <f>IF(C86="En curso",
IF(Incidencias!#REF!="Usuario","Usuario",
IF(Incidencias!#REF!="Proceso","Proceso","NA")),"NA")</f>
        <v>NA</v>
      </c>
    </row>
    <row r="87" spans="1:5" x14ac:dyDescent="0.25">
      <c r="A87" s="19">
        <f>Incidencias!B112</f>
        <v>0</v>
      </c>
      <c r="B87" s="16" t="str">
        <f>IF(Incidencias!E181="Mejora","Mejora","Incidencia")</f>
        <v>Incidencia</v>
      </c>
      <c r="C87" s="8" t="str">
        <f>IF(Incidencias!E181="Mejora","NA",IF(OR(Incidencias!M181="Abierta",Incidencias!M181="En proceso",Incidencias!M181="Info cliente")=TRUE,"En curso",IF(Incidencias!M181="Descartada","Descartada","Entregada")))</f>
        <v>Entregada</v>
      </c>
      <c r="D87" s="8" t="str">
        <f>IF(C87="En curso",
IF(Incidencias!#REF!="Sí","Bloqueante",
IF(Incidencias!#REF!="No","No bloqueante","NA")),"NA")</f>
        <v>NA</v>
      </c>
      <c r="E87" s="8" t="str">
        <f>IF(C87="En curso",
IF(Incidencias!#REF!="Usuario","Usuario",
IF(Incidencias!#REF!="Proceso","Proceso","NA")),"NA")</f>
        <v>NA</v>
      </c>
    </row>
    <row r="88" spans="1:5" x14ac:dyDescent="0.25">
      <c r="A88" s="19">
        <f>Incidencias!B113</f>
        <v>0</v>
      </c>
      <c r="B88" s="16" t="e">
        <f>IF(Incidencias!#REF!="Mejora","Mejora","Incidencia")</f>
        <v>#REF!</v>
      </c>
      <c r="C88" s="8" t="e">
        <f>IF(Incidencias!#REF!="Mejora","NA",IF(OR(Incidencias!#REF!="Abierta",Incidencias!#REF!="En proceso",Incidencias!#REF!="Info cliente")=TRUE,"En curso",IF(Incidencias!#REF!="Descartada","Descartada","Entregada")))</f>
        <v>#REF!</v>
      </c>
      <c r="D88" s="8" t="e">
        <f>IF(C88="En curso",
IF(Incidencias!#REF!="Sí","Bloqueante",
IF(Incidencias!#REF!="No","No bloqueante","NA")),"NA")</f>
        <v>#REF!</v>
      </c>
      <c r="E88" s="8" t="e">
        <f>IF(C88="En curso",
IF(Incidencias!#REF!="Usuario","Usuario",
IF(Incidencias!#REF!="Proceso","Proceso","NA")),"NA")</f>
        <v>#REF!</v>
      </c>
    </row>
    <row r="89" spans="1:5" x14ac:dyDescent="0.25">
      <c r="A89" s="19">
        <f>Incidencias!B114</f>
        <v>0</v>
      </c>
      <c r="B89" s="16" t="e">
        <f>IF(Incidencias!#REF!="Mejora","Mejora","Incidencia")</f>
        <v>#REF!</v>
      </c>
      <c r="C89" s="8" t="e">
        <f>IF(Incidencias!#REF!="Mejora","NA",IF(OR(Incidencias!#REF!="Abierta",Incidencias!#REF!="En proceso",Incidencias!#REF!="Info cliente")=TRUE,"En curso",IF(Incidencias!#REF!="Descartada","Descartada","Entregada")))</f>
        <v>#REF!</v>
      </c>
      <c r="D89" s="8" t="e">
        <f>IF(C89="En curso",
IF(Incidencias!#REF!="Sí","Bloqueante",
IF(Incidencias!#REF!="No","No bloqueante","NA")),"NA")</f>
        <v>#REF!</v>
      </c>
      <c r="E89" s="8" t="e">
        <f>IF(C89="En curso",
IF(Incidencias!#REF!="Usuario","Usuario",
IF(Incidencias!#REF!="Proceso","Proceso","NA")),"NA")</f>
        <v>#REF!</v>
      </c>
    </row>
    <row r="90" spans="1:5" x14ac:dyDescent="0.25">
      <c r="A90" s="19">
        <f>Incidencias!B115</f>
        <v>0</v>
      </c>
      <c r="B90" s="16" t="e">
        <f>IF(Incidencias!#REF!="Mejora","Mejora","Incidencia")</f>
        <v>#REF!</v>
      </c>
      <c r="C90" s="8" t="e">
        <f>IF(Incidencias!#REF!="Mejora","NA",IF(OR(Incidencias!#REF!="Abierta",Incidencias!#REF!="En proceso",Incidencias!#REF!="Info cliente")=TRUE,"En curso",IF(Incidencias!#REF!="Descartada","Descartada","Entregada")))</f>
        <v>#REF!</v>
      </c>
      <c r="D90" s="8" t="e">
        <f>IF(C90="En curso",
IF(Incidencias!#REF!="Sí","Bloqueante",
IF(Incidencias!#REF!="No","No bloqueante","NA")),"NA")</f>
        <v>#REF!</v>
      </c>
      <c r="E90" s="8" t="e">
        <f>IF(C90="En curso",
IF(Incidencias!#REF!="Usuario","Usuario",
IF(Incidencias!#REF!="Proceso","Proceso","NA")),"NA")</f>
        <v>#REF!</v>
      </c>
    </row>
    <row r="91" spans="1:5" x14ac:dyDescent="0.25">
      <c r="A91" s="19">
        <f>Incidencias!B116</f>
        <v>0</v>
      </c>
      <c r="B91" s="16" t="e">
        <f>IF(Incidencias!#REF!="Mejora","Mejora","Incidencia")</f>
        <v>#REF!</v>
      </c>
      <c r="C91" s="8" t="e">
        <f>IF(Incidencias!#REF!="Mejora","NA",IF(OR(Incidencias!#REF!="Abierta",Incidencias!#REF!="En proceso",Incidencias!#REF!="Info cliente")=TRUE,"En curso",IF(Incidencias!#REF!="Descartada","Descartada","Entregada")))</f>
        <v>#REF!</v>
      </c>
      <c r="D91" s="8" t="e">
        <f>IF(C91="En curso",
IF(Incidencias!#REF!="Sí","Bloqueante",
IF(Incidencias!#REF!="No","No bloqueante","NA")),"NA")</f>
        <v>#REF!</v>
      </c>
      <c r="E91" s="8" t="e">
        <f>IF(C91="En curso",
IF(Incidencias!#REF!="Usuario","Usuario",
IF(Incidencias!#REF!="Proceso","Proceso","NA")),"NA")</f>
        <v>#REF!</v>
      </c>
    </row>
    <row r="92" spans="1:5" x14ac:dyDescent="0.25">
      <c r="A92" s="19">
        <f>Incidencias!B117</f>
        <v>0</v>
      </c>
      <c r="B92" s="16" t="e">
        <f>IF(Incidencias!#REF!="Mejora","Mejora","Incidencia")</f>
        <v>#REF!</v>
      </c>
      <c r="C92" s="8" t="e">
        <f>IF(Incidencias!#REF!="Mejora","NA",IF(OR(Incidencias!#REF!="Abierta",Incidencias!#REF!="En proceso",Incidencias!#REF!="Info cliente")=TRUE,"En curso",IF(Incidencias!#REF!="Descartada","Descartada","Entregada")))</f>
        <v>#REF!</v>
      </c>
      <c r="D92" s="8" t="e">
        <f>IF(C92="En curso",
IF(Incidencias!#REF!="Sí","Bloqueante",
IF(Incidencias!#REF!="No","No bloqueante","NA")),"NA")</f>
        <v>#REF!</v>
      </c>
      <c r="E92" s="8" t="e">
        <f>IF(C92="En curso",
IF(Incidencias!#REF!="Usuario","Usuario",
IF(Incidencias!#REF!="Proceso","Proceso","NA")),"NA")</f>
        <v>#REF!</v>
      </c>
    </row>
    <row r="93" spans="1:5" x14ac:dyDescent="0.25">
      <c r="A93" s="19">
        <f>Incidencias!B118</f>
        <v>0</v>
      </c>
      <c r="B93" s="16" t="e">
        <f>IF(Incidencias!#REF!="Mejora","Mejora","Incidencia")</f>
        <v>#REF!</v>
      </c>
      <c r="C93" s="8" t="e">
        <f>IF(Incidencias!#REF!="Mejora","NA",IF(OR(Incidencias!#REF!="Abierta",Incidencias!#REF!="En proceso",Incidencias!#REF!="Info cliente")=TRUE,"En curso",IF(Incidencias!#REF!="Descartada","Descartada","Entregada")))</f>
        <v>#REF!</v>
      </c>
      <c r="D93" s="8" t="e">
        <f>IF(C93="En curso",
IF(Incidencias!#REF!="Sí","Bloqueante",
IF(Incidencias!#REF!="No","No bloqueante","NA")),"NA")</f>
        <v>#REF!</v>
      </c>
      <c r="E93" s="8" t="e">
        <f>IF(C93="En curso",
IF(Incidencias!#REF!="Usuario","Usuario",
IF(Incidencias!#REF!="Proceso","Proceso","NA")),"NA")</f>
        <v>#REF!</v>
      </c>
    </row>
    <row r="94" spans="1:5" x14ac:dyDescent="0.25">
      <c r="A94" s="19">
        <f>Incidencias!B119</f>
        <v>0</v>
      </c>
      <c r="B94" s="16" t="e">
        <f>IF(Incidencias!#REF!="Mejora","Mejora","Incidencia")</f>
        <v>#REF!</v>
      </c>
      <c r="C94" s="8" t="e">
        <f>IF(Incidencias!#REF!="Mejora","NA",IF(OR(Incidencias!#REF!="Abierta",Incidencias!#REF!="En proceso",Incidencias!#REF!="Info cliente")=TRUE,"En curso",IF(Incidencias!#REF!="Descartada","Descartada","Entregada")))</f>
        <v>#REF!</v>
      </c>
      <c r="D94" s="8" t="e">
        <f>IF(C94="En curso",
IF(Incidencias!#REF!="Sí","Bloqueante",
IF(Incidencias!#REF!="No","No bloqueante","NA")),"NA")</f>
        <v>#REF!</v>
      </c>
      <c r="E94" s="8" t="e">
        <f>IF(C94="En curso",
IF(Incidencias!#REF!="Usuario","Usuario",
IF(Incidencias!#REF!="Proceso","Proceso","NA")),"NA")</f>
        <v>#REF!</v>
      </c>
    </row>
    <row r="95" spans="1:5" x14ac:dyDescent="0.25">
      <c r="A95" s="19">
        <f>Incidencias!B120</f>
        <v>0</v>
      </c>
      <c r="B95" s="16" t="e">
        <f>IF(Incidencias!#REF!="Mejora","Mejora","Incidencia")</f>
        <v>#REF!</v>
      </c>
      <c r="C95" s="8" t="e">
        <f>IF(Incidencias!#REF!="Mejora","NA",IF(OR(Incidencias!#REF!="Abierta",Incidencias!#REF!="En proceso",Incidencias!#REF!="Info cliente")=TRUE,"En curso",IF(Incidencias!#REF!="Descartada","Descartada","Entregada")))</f>
        <v>#REF!</v>
      </c>
      <c r="D95" s="8" t="e">
        <f>IF(C95="En curso",
IF(Incidencias!#REF!="Sí","Bloqueante",
IF(Incidencias!#REF!="No","No bloqueante","NA")),"NA")</f>
        <v>#REF!</v>
      </c>
      <c r="E95" s="8" t="e">
        <f>IF(C95="En curso",
IF(Incidencias!#REF!="Usuario","Usuario",
IF(Incidencias!#REF!="Proceso","Proceso","NA")),"NA")</f>
        <v>#REF!</v>
      </c>
    </row>
    <row r="96" spans="1:5" x14ac:dyDescent="0.25">
      <c r="A96" s="19">
        <f>Incidencias!B121</f>
        <v>0</v>
      </c>
      <c r="B96" s="16" t="e">
        <f>IF(Incidencias!#REF!="Mejora","Mejora","Incidencia")</f>
        <v>#REF!</v>
      </c>
      <c r="C96" s="8" t="e">
        <f>IF(Incidencias!#REF!="Mejora","NA",IF(OR(Incidencias!#REF!="Abierta",Incidencias!#REF!="En proceso",Incidencias!#REF!="Info cliente")=TRUE,"En curso",IF(Incidencias!#REF!="Descartada","Descartada","Entregada")))</f>
        <v>#REF!</v>
      </c>
      <c r="D96" s="8" t="e">
        <f>IF(C96="En curso",
IF(Incidencias!#REF!="Sí","Bloqueante",
IF(Incidencias!#REF!="No","No bloqueante","NA")),"NA")</f>
        <v>#REF!</v>
      </c>
      <c r="E96" s="8" t="e">
        <f>IF(C96="En curso",
IF(Incidencias!#REF!="Usuario","Usuario",
IF(Incidencias!#REF!="Proceso","Proceso","NA")),"NA")</f>
        <v>#REF!</v>
      </c>
    </row>
    <row r="97" spans="1:5" x14ac:dyDescent="0.25">
      <c r="A97" s="19">
        <f>Incidencias!B122</f>
        <v>0</v>
      </c>
      <c r="B97" s="16" t="e">
        <f>IF(Incidencias!#REF!="Mejora","Mejora","Incidencia")</f>
        <v>#REF!</v>
      </c>
      <c r="C97" s="8" t="e">
        <f>IF(Incidencias!#REF!="Mejora","NA",IF(OR(Incidencias!#REF!="Abierta",Incidencias!#REF!="En proceso",Incidencias!#REF!="Info cliente")=TRUE,"En curso",IF(Incidencias!#REF!="Descartada","Descartada","Entregada")))</f>
        <v>#REF!</v>
      </c>
      <c r="D97" s="8" t="e">
        <f>IF(C97="En curso",
IF(Incidencias!#REF!="Sí","Bloqueante",
IF(Incidencias!#REF!="No","No bloqueante","NA")),"NA")</f>
        <v>#REF!</v>
      </c>
      <c r="E97" s="8" t="e">
        <f>IF(C97="En curso",
IF(Incidencias!#REF!="Usuario","Usuario",
IF(Incidencias!#REF!="Proceso","Proceso","NA")),"NA")</f>
        <v>#REF!</v>
      </c>
    </row>
    <row r="98" spans="1:5" x14ac:dyDescent="0.25">
      <c r="A98" s="19">
        <f>Incidencias!B123</f>
        <v>0</v>
      </c>
      <c r="B98" s="16" t="e">
        <f>IF(Incidencias!#REF!="Mejora","Mejora","Incidencia")</f>
        <v>#REF!</v>
      </c>
      <c r="C98" s="8" t="e">
        <f>IF(Incidencias!#REF!="Mejora","NA",IF(OR(Incidencias!#REF!="Abierta",Incidencias!#REF!="En proceso",Incidencias!#REF!="Info cliente")=TRUE,"En curso",IF(Incidencias!#REF!="Descartada","Descartada","Entregada")))</f>
        <v>#REF!</v>
      </c>
      <c r="D98" s="8" t="e">
        <f>IF(C98="En curso",
IF(Incidencias!#REF!="Sí","Bloqueante",
IF(Incidencias!#REF!="No","No bloqueante","NA")),"NA")</f>
        <v>#REF!</v>
      </c>
      <c r="E98" s="8" t="e">
        <f>IF(C98="En curso",
IF(Incidencias!#REF!="Usuario","Usuario",
IF(Incidencias!#REF!="Proceso","Proceso","NA")),"NA")</f>
        <v>#REF!</v>
      </c>
    </row>
    <row r="99" spans="1:5" x14ac:dyDescent="0.25">
      <c r="A99" s="19">
        <f>Incidencias!B124</f>
        <v>0</v>
      </c>
      <c r="B99" s="16" t="e">
        <f>IF(Incidencias!#REF!="Mejora","Mejora","Incidencia")</f>
        <v>#REF!</v>
      </c>
      <c r="C99" s="8" t="e">
        <f>IF(Incidencias!#REF!="Mejora","NA",IF(OR(Incidencias!#REF!="Abierta",Incidencias!#REF!="En proceso",Incidencias!#REF!="Info cliente")=TRUE,"En curso",IF(Incidencias!#REF!="Descartada","Descartada","Entregada")))</f>
        <v>#REF!</v>
      </c>
      <c r="D99" s="8" t="e">
        <f>IF(C99="En curso",
IF(Incidencias!#REF!="Sí","Bloqueante",
IF(Incidencias!#REF!="No","No bloqueante","NA")),"NA")</f>
        <v>#REF!</v>
      </c>
      <c r="E99" s="8" t="e">
        <f>IF(C99="En curso",
IF(Incidencias!#REF!="Usuario","Usuario",
IF(Incidencias!#REF!="Proceso","Proceso","NA")),"NA")</f>
        <v>#REF!</v>
      </c>
    </row>
    <row r="100" spans="1:5" x14ac:dyDescent="0.25">
      <c r="A100" s="19">
        <f>Incidencias!B125</f>
        <v>0</v>
      </c>
      <c r="B100" s="16" t="e">
        <f>IF(Incidencias!#REF!="Mejora","Mejora","Incidencia")</f>
        <v>#REF!</v>
      </c>
      <c r="C100" s="8" t="e">
        <f>IF(Incidencias!#REF!="Mejora","NA",IF(OR(Incidencias!#REF!="Abierta",Incidencias!#REF!="En proceso",Incidencias!#REF!="Info cliente")=TRUE,"En curso",IF(Incidencias!#REF!="Descartada","Descartada","Entregada")))</f>
        <v>#REF!</v>
      </c>
      <c r="D100" s="8" t="e">
        <f>IF(C100="En curso",
IF(Incidencias!#REF!="Sí","Bloqueante",
IF(Incidencias!#REF!="No","No bloqueante","NA")),"NA")</f>
        <v>#REF!</v>
      </c>
      <c r="E100" s="8" t="e">
        <f>IF(C100="En curso",
IF(Incidencias!#REF!="Usuario","Usuario",
IF(Incidencias!#REF!="Proceso","Proceso","NA")),"NA")</f>
        <v>#REF!</v>
      </c>
    </row>
    <row r="101" spans="1:5" x14ac:dyDescent="0.25">
      <c r="A101" s="19">
        <f>Incidencias!B126</f>
        <v>0</v>
      </c>
      <c r="B101" s="16" t="e">
        <f>IF(Incidencias!#REF!="Mejora","Mejora","Incidencia")</f>
        <v>#REF!</v>
      </c>
      <c r="C101" s="8" t="e">
        <f>IF(Incidencias!#REF!="Mejora","NA",IF(OR(Incidencias!#REF!="Abierta",Incidencias!#REF!="En proceso",Incidencias!#REF!="Info cliente")=TRUE,"En curso",IF(Incidencias!#REF!="Descartada","Descartada","Entregada")))</f>
        <v>#REF!</v>
      </c>
      <c r="D101" s="8" t="e">
        <f>IF(C101="En curso",
IF(Incidencias!#REF!="Sí","Bloqueante",
IF(Incidencias!#REF!="No","No bloqueante","NA")),"NA")</f>
        <v>#REF!</v>
      </c>
      <c r="E101" s="8" t="e">
        <f>IF(C101="En curso",
IF(Incidencias!#REF!="Usuario","Usuario",
IF(Incidencias!#REF!="Proceso","Proceso","NA")),"NA")</f>
        <v>#REF!</v>
      </c>
    </row>
    <row r="102" spans="1:5" x14ac:dyDescent="0.25">
      <c r="A102" s="19">
        <f>Incidencias!B127</f>
        <v>0</v>
      </c>
      <c r="B102" s="16" t="e">
        <f>IF(Incidencias!#REF!="Mejora","Mejora","Incidencia")</f>
        <v>#REF!</v>
      </c>
      <c r="C102" s="8" t="e">
        <f>IF(Incidencias!#REF!="Mejora","NA",IF(OR(Incidencias!#REF!="Abierta",Incidencias!#REF!="En proceso",Incidencias!#REF!="Info cliente")=TRUE,"En curso",IF(Incidencias!#REF!="Descartada","Descartada","Entregada")))</f>
        <v>#REF!</v>
      </c>
      <c r="D102" s="8" t="e">
        <f>IF(C102="En curso",
IF(Incidencias!#REF!="Sí","Bloqueante",
IF(Incidencias!#REF!="No","No bloqueante","NA")),"NA")</f>
        <v>#REF!</v>
      </c>
      <c r="E102" s="8" t="e">
        <f>IF(C102="En curso",
IF(Incidencias!#REF!="Usuario","Usuario",
IF(Incidencias!#REF!="Proceso","Proceso","NA")),"NA")</f>
        <v>#REF!</v>
      </c>
    </row>
    <row r="103" spans="1:5" x14ac:dyDescent="0.25">
      <c r="A103" s="19">
        <f>Incidencias!B128</f>
        <v>0</v>
      </c>
      <c r="B103" s="16" t="e">
        <f>IF(Incidencias!#REF!="Mejora","Mejora","Incidencia")</f>
        <v>#REF!</v>
      </c>
      <c r="C103" s="8" t="e">
        <f>IF(Incidencias!#REF!="Mejora","NA",IF(OR(Incidencias!#REF!="Abierta",Incidencias!#REF!="En proceso",Incidencias!#REF!="Info cliente")=TRUE,"En curso",IF(Incidencias!#REF!="Descartada","Descartada","Entregada")))</f>
        <v>#REF!</v>
      </c>
      <c r="D103" s="8" t="e">
        <f>IF(C103="En curso",
IF(Incidencias!#REF!="Sí","Bloqueante",
IF(Incidencias!#REF!="No","No bloqueante","NA")),"NA")</f>
        <v>#REF!</v>
      </c>
      <c r="E103" s="8" t="e">
        <f>IF(C103="En curso",
IF(Incidencias!#REF!="Usuario","Usuario",
IF(Incidencias!#REF!="Proceso","Proceso","NA")),"NA")</f>
        <v>#REF!</v>
      </c>
    </row>
    <row r="104" spans="1:5" x14ac:dyDescent="0.25">
      <c r="A104" s="19">
        <f>Incidencias!B130</f>
        <v>0</v>
      </c>
      <c r="B104" s="16" t="e">
        <f>IF(Incidencias!#REF!="Mejora","Mejora","Incidencia")</f>
        <v>#REF!</v>
      </c>
      <c r="C104" s="8" t="e">
        <f>IF(Incidencias!#REF!="Mejora","NA",IF(OR(Incidencias!#REF!="Abierta",Incidencias!#REF!="En proceso",Incidencias!#REF!="Info cliente")=TRUE,"En curso",IF(Incidencias!#REF!="Descartada","Descartada","Entregada")))</f>
        <v>#REF!</v>
      </c>
      <c r="D104" s="8" t="e">
        <f>IF(C104="En curso",
IF(Incidencias!#REF!="Sí","Bloqueante",
IF(Incidencias!#REF!="No","No bloqueante","NA")),"NA")</f>
        <v>#REF!</v>
      </c>
      <c r="E104" s="8" t="e">
        <f>IF(C104="En curso",
IF(Incidencias!#REF!="Usuario","Usuario",
IF(Incidencias!#REF!="Proceso","Proceso","NA")),"NA")</f>
        <v>#REF!</v>
      </c>
    </row>
    <row r="105" spans="1:5" x14ac:dyDescent="0.25">
      <c r="A105" s="19">
        <f>Incidencias!B131</f>
        <v>0</v>
      </c>
      <c r="B105" s="16" t="e">
        <f>IF(Incidencias!#REF!="Mejora","Mejora","Incidencia")</f>
        <v>#REF!</v>
      </c>
      <c r="C105" s="8" t="e">
        <f>IF(Incidencias!#REF!="Mejora","NA",IF(OR(Incidencias!#REF!="Abierta",Incidencias!#REF!="En proceso",Incidencias!#REF!="Info cliente")=TRUE,"En curso",IF(Incidencias!#REF!="Descartada","Descartada","Entregada")))</f>
        <v>#REF!</v>
      </c>
      <c r="D105" s="8" t="e">
        <f>IF(C105="En curso",
IF(Incidencias!#REF!="Sí","Bloqueante",
IF(Incidencias!#REF!="No","No bloqueante","NA")),"NA")</f>
        <v>#REF!</v>
      </c>
      <c r="E105" s="8" t="e">
        <f>IF(C105="En curso",
IF(Incidencias!#REF!="Usuario","Usuario",
IF(Incidencias!#REF!="Proceso","Proceso","NA")),"NA")</f>
        <v>#REF!</v>
      </c>
    </row>
    <row r="106" spans="1:5" x14ac:dyDescent="0.25">
      <c r="A106" s="19">
        <f>Incidencias!B132</f>
        <v>0</v>
      </c>
      <c r="B106" s="16" t="e">
        <f>IF(Incidencias!#REF!="Mejora","Mejora","Incidencia")</f>
        <v>#REF!</v>
      </c>
      <c r="C106" s="8" t="e">
        <f>IF(Incidencias!#REF!="Mejora","NA",IF(OR(Incidencias!#REF!="Abierta",Incidencias!#REF!="En proceso",Incidencias!#REF!="Info cliente")=TRUE,"En curso",IF(Incidencias!#REF!="Descartada","Descartada","Entregada")))</f>
        <v>#REF!</v>
      </c>
      <c r="D106" s="8" t="e">
        <f>IF(C106="En curso",
IF(Incidencias!#REF!="Sí","Bloqueante",
IF(Incidencias!#REF!="No","No bloqueante","NA")),"NA")</f>
        <v>#REF!</v>
      </c>
      <c r="E106" s="8" t="e">
        <f>IF(C106="En curso",
IF(Incidencias!#REF!="Usuario","Usuario",
IF(Incidencias!#REF!="Proceso","Proceso","NA")),"NA")</f>
        <v>#REF!</v>
      </c>
    </row>
    <row r="107" spans="1:5" x14ac:dyDescent="0.25">
      <c r="A107" s="19">
        <f>Incidencias!B133</f>
        <v>0</v>
      </c>
      <c r="B107" s="16" t="e">
        <f>IF(Incidencias!#REF!="Mejora","Mejora","Incidencia")</f>
        <v>#REF!</v>
      </c>
      <c r="C107" s="8" t="e">
        <f>IF(Incidencias!#REF!="Mejora","NA",IF(OR(Incidencias!#REF!="Abierta",Incidencias!#REF!="En proceso",Incidencias!#REF!="Info cliente")=TRUE,"En curso",IF(Incidencias!#REF!="Descartada","Descartada","Entregada")))</f>
        <v>#REF!</v>
      </c>
      <c r="D107" s="8" t="e">
        <f>IF(C107="En curso",
IF(Incidencias!#REF!="Sí","Bloqueante",
IF(Incidencias!#REF!="No","No bloqueante","NA")),"NA")</f>
        <v>#REF!</v>
      </c>
      <c r="E107" s="8" t="e">
        <f>IF(C107="En curso",
IF(Incidencias!#REF!="Usuario","Usuario",
IF(Incidencias!#REF!="Proceso","Proceso","NA")),"NA")</f>
        <v>#REF!</v>
      </c>
    </row>
    <row r="108" spans="1:5" x14ac:dyDescent="0.25">
      <c r="A108" s="19">
        <f>Incidencias!B134</f>
        <v>0</v>
      </c>
      <c r="B108" s="16" t="e">
        <f>IF(Incidencias!#REF!="Mejora","Mejora","Incidencia")</f>
        <v>#REF!</v>
      </c>
      <c r="C108" s="8" t="e">
        <f>IF(Incidencias!#REF!="Mejora","NA",IF(OR(Incidencias!#REF!="Abierta",Incidencias!#REF!="En proceso",Incidencias!#REF!="Info cliente")=TRUE,"En curso",IF(Incidencias!#REF!="Descartada","Descartada","Entregada")))</f>
        <v>#REF!</v>
      </c>
      <c r="D108" s="8" t="e">
        <f>IF(C108="En curso",
IF(Incidencias!#REF!="Sí","Bloqueante",
IF(Incidencias!#REF!="No","No bloqueante","NA")),"NA")</f>
        <v>#REF!</v>
      </c>
      <c r="E108" s="8" t="e">
        <f>IF(C108="En curso",
IF(Incidencias!#REF!="Usuario","Usuario",
IF(Incidencias!#REF!="Proceso","Proceso","NA")),"NA")</f>
        <v>#REF!</v>
      </c>
    </row>
    <row r="109" spans="1:5" x14ac:dyDescent="0.25">
      <c r="A109" s="19">
        <f>Incidencias!B135</f>
        <v>0</v>
      </c>
      <c r="B109" s="16" t="e">
        <f>IF(Incidencias!#REF!="Mejora","Mejora","Incidencia")</f>
        <v>#REF!</v>
      </c>
      <c r="C109" s="8" t="e">
        <f>IF(Incidencias!#REF!="Mejora","NA",IF(OR(Incidencias!#REF!="Abierta",Incidencias!#REF!="En proceso",Incidencias!#REF!="Info cliente")=TRUE,"En curso",IF(Incidencias!#REF!="Descartada","Descartada","Entregada")))</f>
        <v>#REF!</v>
      </c>
      <c r="D109" s="8" t="e">
        <f>IF(C109="En curso",
IF(Incidencias!#REF!="Sí","Bloqueante",
IF(Incidencias!#REF!="No","No bloqueante","NA")),"NA")</f>
        <v>#REF!</v>
      </c>
      <c r="E109" s="8" t="e">
        <f>IF(C109="En curso",
IF(Incidencias!#REF!="Usuario","Usuario",
IF(Incidencias!#REF!="Proceso","Proceso","NA")),"NA")</f>
        <v>#REF!</v>
      </c>
    </row>
    <row r="110" spans="1:5" x14ac:dyDescent="0.25">
      <c r="A110" s="19">
        <f>Incidencias!B136</f>
        <v>0</v>
      </c>
      <c r="B110" s="16" t="e">
        <f>IF(Incidencias!#REF!="Mejora","Mejora","Incidencia")</f>
        <v>#REF!</v>
      </c>
      <c r="C110" s="8" t="e">
        <f>IF(Incidencias!#REF!="Mejora","NA",IF(OR(Incidencias!#REF!="Abierta",Incidencias!#REF!="En proceso",Incidencias!#REF!="Info cliente")=TRUE,"En curso",IF(Incidencias!#REF!="Descartada","Descartada","Entregada")))</f>
        <v>#REF!</v>
      </c>
      <c r="D110" s="8" t="e">
        <f>IF(C110="En curso",
IF(Incidencias!#REF!="Sí","Bloqueante",
IF(Incidencias!#REF!="No","No bloqueante","NA")),"NA")</f>
        <v>#REF!</v>
      </c>
      <c r="E110" s="8" t="e">
        <f>IF(C110="En curso",
IF(Incidencias!#REF!="Usuario","Usuario",
IF(Incidencias!#REF!="Proceso","Proceso","NA")),"NA")</f>
        <v>#REF!</v>
      </c>
    </row>
    <row r="111" spans="1:5" x14ac:dyDescent="0.25">
      <c r="A111" s="19">
        <f>Incidencias!B137</f>
        <v>0</v>
      </c>
      <c r="B111" s="16" t="e">
        <f>IF(Incidencias!#REF!="Mejora","Mejora","Incidencia")</f>
        <v>#REF!</v>
      </c>
      <c r="C111" s="8" t="e">
        <f>IF(Incidencias!#REF!="Mejora","NA",IF(OR(Incidencias!#REF!="Abierta",Incidencias!#REF!="En proceso",Incidencias!#REF!="Info cliente")=TRUE,"En curso",IF(Incidencias!#REF!="Descartada","Descartada","Entregada")))</f>
        <v>#REF!</v>
      </c>
      <c r="D111" s="8" t="e">
        <f>IF(C111="En curso",
IF(Incidencias!#REF!="Sí","Bloqueante",
IF(Incidencias!#REF!="No","No bloqueante","NA")),"NA")</f>
        <v>#REF!</v>
      </c>
      <c r="E111" s="8" t="e">
        <f>IF(C111="En curso",
IF(Incidencias!#REF!="Usuario","Usuario",
IF(Incidencias!#REF!="Proceso","Proceso","NA")),"NA")</f>
        <v>#REF!</v>
      </c>
    </row>
    <row r="112" spans="1:5" x14ac:dyDescent="0.25">
      <c r="A112" s="19">
        <f>Incidencias!B138</f>
        <v>0</v>
      </c>
      <c r="B112" s="16" t="e">
        <f>IF(Incidencias!#REF!="Mejora","Mejora","Incidencia")</f>
        <v>#REF!</v>
      </c>
      <c r="C112" s="8" t="e">
        <f>IF(Incidencias!#REF!="Mejora","NA",IF(OR(Incidencias!#REF!="Abierta",Incidencias!#REF!="En proceso",Incidencias!#REF!="Info cliente")=TRUE,"En curso",IF(Incidencias!#REF!="Descartada","Descartada","Entregada")))</f>
        <v>#REF!</v>
      </c>
      <c r="D112" s="8" t="e">
        <f>IF(C112="En curso",
IF(Incidencias!#REF!="Sí","Bloqueante",
IF(Incidencias!#REF!="No","No bloqueante","NA")),"NA")</f>
        <v>#REF!</v>
      </c>
      <c r="E112" s="8" t="e">
        <f>IF(C112="En curso",
IF(Incidencias!#REF!="Usuario","Usuario",
IF(Incidencias!#REF!="Proceso","Proceso","NA")),"NA")</f>
        <v>#REF!</v>
      </c>
    </row>
    <row r="113" spans="1:5" x14ac:dyDescent="0.25">
      <c r="A113" s="19">
        <f>Incidencias!B139</f>
        <v>0</v>
      </c>
      <c r="B113" s="16" t="e">
        <f>IF(Incidencias!#REF!="Mejora","Mejora","Incidencia")</f>
        <v>#REF!</v>
      </c>
      <c r="C113" s="8" t="e">
        <f>IF(Incidencias!#REF!="Mejora","NA",IF(OR(Incidencias!#REF!="Abierta",Incidencias!#REF!="En proceso",Incidencias!#REF!="Info cliente")=TRUE,"En curso",IF(Incidencias!#REF!="Descartada","Descartada","Entregada")))</f>
        <v>#REF!</v>
      </c>
      <c r="D113" s="8" t="e">
        <f>IF(C113="En curso",
IF(Incidencias!#REF!="Sí","Bloqueante",
IF(Incidencias!#REF!="No","No bloqueante","NA")),"NA")</f>
        <v>#REF!</v>
      </c>
      <c r="E113" s="8" t="e">
        <f>IF(C113="En curso",
IF(Incidencias!#REF!="Usuario","Usuario",
IF(Incidencias!#REF!="Proceso","Proceso","NA")),"NA")</f>
        <v>#REF!</v>
      </c>
    </row>
    <row r="114" spans="1:5" x14ac:dyDescent="0.25">
      <c r="A114" s="19">
        <f>Incidencias!B140</f>
        <v>0</v>
      </c>
      <c r="B114" s="16" t="e">
        <f>IF(Incidencias!#REF!="Mejora","Mejora","Incidencia")</f>
        <v>#REF!</v>
      </c>
      <c r="C114" s="8" t="e">
        <f>IF(Incidencias!#REF!="Mejora","NA",IF(OR(Incidencias!#REF!="Abierta",Incidencias!#REF!="En proceso",Incidencias!#REF!="Info cliente")=TRUE,"En curso",IF(Incidencias!#REF!="Descartada","Descartada","Entregada")))</f>
        <v>#REF!</v>
      </c>
      <c r="D114" s="8" t="e">
        <f>IF(C114="En curso",
IF(Incidencias!#REF!="Sí","Bloqueante",
IF(Incidencias!#REF!="No","No bloqueante","NA")),"NA")</f>
        <v>#REF!</v>
      </c>
      <c r="E114" s="8" t="e">
        <f>IF(C114="En curso",
IF(Incidencias!#REF!="Usuario","Usuario",
IF(Incidencias!#REF!="Proceso","Proceso","NA")),"NA")</f>
        <v>#REF!</v>
      </c>
    </row>
    <row r="115" spans="1:5" x14ac:dyDescent="0.25">
      <c r="A115" s="19">
        <f>Incidencias!B141</f>
        <v>0</v>
      </c>
      <c r="B115" s="16" t="e">
        <f>IF(Incidencias!#REF!="Mejora","Mejora","Incidencia")</f>
        <v>#REF!</v>
      </c>
      <c r="C115" s="8" t="e">
        <f>IF(Incidencias!#REF!="Mejora","NA",IF(OR(Incidencias!#REF!="Abierta",Incidencias!#REF!="En proceso",Incidencias!#REF!="Info cliente")=TRUE,"En curso",IF(Incidencias!#REF!="Descartada","Descartada","Entregada")))</f>
        <v>#REF!</v>
      </c>
      <c r="D115" s="8" t="e">
        <f>IF(C115="En curso",
IF(Incidencias!#REF!="Sí","Bloqueante",
IF(Incidencias!#REF!="No","No bloqueante","NA")),"NA")</f>
        <v>#REF!</v>
      </c>
      <c r="E115" s="8" t="e">
        <f>IF(C115="En curso",
IF(Incidencias!#REF!="Usuario","Usuario",
IF(Incidencias!#REF!="Proceso","Proceso","NA")),"NA")</f>
        <v>#REF!</v>
      </c>
    </row>
    <row r="116" spans="1:5" x14ac:dyDescent="0.25">
      <c r="A116" s="19">
        <f>Incidencias!B142</f>
        <v>0</v>
      </c>
      <c r="B116" s="16" t="e">
        <f>IF(Incidencias!#REF!="Mejora","Mejora","Incidencia")</f>
        <v>#REF!</v>
      </c>
      <c r="C116" s="8" t="e">
        <f>IF(Incidencias!#REF!="Mejora","NA",IF(OR(Incidencias!#REF!="Abierta",Incidencias!#REF!="En proceso",Incidencias!#REF!="Info cliente")=TRUE,"En curso",IF(Incidencias!#REF!="Descartada","Descartada","Entregada")))</f>
        <v>#REF!</v>
      </c>
      <c r="D116" s="8" t="e">
        <f>IF(C116="En curso",
IF(Incidencias!#REF!="Sí","Bloqueante",
IF(Incidencias!#REF!="No","No bloqueante","NA")),"NA")</f>
        <v>#REF!</v>
      </c>
      <c r="E116" s="8" t="e">
        <f>IF(C116="En curso",
IF(Incidencias!#REF!="Usuario","Usuario",
IF(Incidencias!#REF!="Proceso","Proceso","NA")),"NA")</f>
        <v>#REF!</v>
      </c>
    </row>
    <row r="117" spans="1:5" x14ac:dyDescent="0.25">
      <c r="A117" s="19">
        <f>Incidencias!B143</f>
        <v>0</v>
      </c>
      <c r="B117" s="16" t="e">
        <f>IF(Incidencias!#REF!="Mejora","Mejora","Incidencia")</f>
        <v>#REF!</v>
      </c>
      <c r="C117" s="8" t="e">
        <f>IF(Incidencias!#REF!="Mejora","NA",IF(OR(Incidencias!#REF!="Abierta",Incidencias!#REF!="En proceso",Incidencias!#REF!="Info cliente")=TRUE,"En curso",IF(Incidencias!#REF!="Descartada","Descartada","Entregada")))</f>
        <v>#REF!</v>
      </c>
      <c r="D117" s="8" t="e">
        <f>IF(C117="En curso",
IF(Incidencias!#REF!="Sí","Bloqueante",
IF(Incidencias!#REF!="No","No bloqueante","NA")),"NA")</f>
        <v>#REF!</v>
      </c>
      <c r="E117" s="8" t="e">
        <f>IF(C117="En curso",
IF(Incidencias!#REF!="Usuario","Usuario",
IF(Incidencias!#REF!="Proceso","Proceso","NA")),"NA")</f>
        <v>#REF!</v>
      </c>
    </row>
    <row r="118" spans="1:5" x14ac:dyDescent="0.25">
      <c r="A118" s="19">
        <f>Incidencias!B144</f>
        <v>0</v>
      </c>
      <c r="B118" s="16" t="e">
        <f>IF(Incidencias!#REF!="Mejora","Mejora","Incidencia")</f>
        <v>#REF!</v>
      </c>
      <c r="C118" s="8" t="e">
        <f>IF(Incidencias!#REF!="Mejora","NA",IF(OR(Incidencias!#REF!="Abierta",Incidencias!#REF!="En proceso",Incidencias!#REF!="Info cliente")=TRUE,"En curso",IF(Incidencias!#REF!="Descartada","Descartada","Entregada")))</f>
        <v>#REF!</v>
      </c>
      <c r="D118" s="8" t="e">
        <f>IF(C118="En curso",
IF(Incidencias!#REF!="Sí","Bloqueante",
IF(Incidencias!#REF!="No","No bloqueante","NA")),"NA")</f>
        <v>#REF!</v>
      </c>
      <c r="E118" s="8" t="e">
        <f>IF(C118="En curso",
IF(Incidencias!#REF!="Usuario","Usuario",
IF(Incidencias!#REF!="Proceso","Proceso","NA")),"NA")</f>
        <v>#REF!</v>
      </c>
    </row>
    <row r="119" spans="1:5" x14ac:dyDescent="0.25">
      <c r="A119" s="19">
        <f>Incidencias!B145</f>
        <v>0</v>
      </c>
      <c r="B119" s="16" t="e">
        <f>IF(Incidencias!#REF!="Mejora","Mejora","Incidencia")</f>
        <v>#REF!</v>
      </c>
      <c r="C119" s="8" t="e">
        <f>IF(Incidencias!#REF!="Mejora","NA",IF(OR(Incidencias!#REF!="Abierta",Incidencias!#REF!="En proceso",Incidencias!#REF!="Info cliente")=TRUE,"En curso",IF(Incidencias!#REF!="Descartada","Descartada","Entregada")))</f>
        <v>#REF!</v>
      </c>
      <c r="D119" s="8" t="e">
        <f>IF(C119="En curso",
IF(Incidencias!#REF!="Sí","Bloqueante",
IF(Incidencias!#REF!="No","No bloqueante","NA")),"NA")</f>
        <v>#REF!</v>
      </c>
      <c r="E119" s="8" t="e">
        <f>IF(C119="En curso",
IF(Incidencias!#REF!="Usuario","Usuario",
IF(Incidencias!#REF!="Proceso","Proceso","NA")),"NA")</f>
        <v>#REF!</v>
      </c>
    </row>
    <row r="120" spans="1:5" x14ac:dyDescent="0.25">
      <c r="A120" s="19">
        <f>Incidencias!B146</f>
        <v>0</v>
      </c>
      <c r="B120" s="16" t="e">
        <f>IF(Incidencias!#REF!="Mejora","Mejora","Incidencia")</f>
        <v>#REF!</v>
      </c>
      <c r="C120" s="8" t="e">
        <f>IF(Incidencias!#REF!="Mejora","NA",IF(OR(Incidencias!#REF!="Abierta",Incidencias!#REF!="En proceso",Incidencias!#REF!="Info cliente")=TRUE,"En curso",IF(Incidencias!#REF!="Descartada","Descartada","Entregada")))</f>
        <v>#REF!</v>
      </c>
      <c r="D120" s="8" t="e">
        <f>IF(C120="En curso",
IF(Incidencias!#REF!="Sí","Bloqueante",
IF(Incidencias!#REF!="No","No bloqueante","NA")),"NA")</f>
        <v>#REF!</v>
      </c>
      <c r="E120" s="8" t="e">
        <f>IF(C120="En curso",
IF(Incidencias!#REF!="Usuario","Usuario",
IF(Incidencias!#REF!="Proceso","Proceso","NA")),"NA")</f>
        <v>#REF!</v>
      </c>
    </row>
    <row r="121" spans="1:5" x14ac:dyDescent="0.25">
      <c r="A121" s="19">
        <f>Incidencias!B147</f>
        <v>0</v>
      </c>
      <c r="B121" s="16" t="e">
        <f>IF(Incidencias!#REF!="Mejora","Mejora","Incidencia")</f>
        <v>#REF!</v>
      </c>
      <c r="C121" s="8" t="e">
        <f>IF(Incidencias!#REF!="Mejora","NA",IF(OR(Incidencias!#REF!="Abierta",Incidencias!#REF!="En proceso",Incidencias!#REF!="Info cliente")=TRUE,"En curso",IF(Incidencias!#REF!="Descartada","Descartada","Entregada")))</f>
        <v>#REF!</v>
      </c>
      <c r="D121" s="8" t="e">
        <f>IF(C121="En curso",
IF(Incidencias!#REF!="Sí","Bloqueante",
IF(Incidencias!#REF!="No","No bloqueante","NA")),"NA")</f>
        <v>#REF!</v>
      </c>
      <c r="E121" s="8" t="e">
        <f>IF(C121="En curso",
IF(Incidencias!#REF!="Usuario","Usuario",
IF(Incidencias!#REF!="Proceso","Proceso","NA")),"NA")</f>
        <v>#REF!</v>
      </c>
    </row>
    <row r="122" spans="1:5" x14ac:dyDescent="0.25">
      <c r="A122" s="19">
        <f>Incidencias!B148</f>
        <v>0</v>
      </c>
      <c r="B122" s="16" t="e">
        <f>IF(Incidencias!#REF!="Mejora","Mejora","Incidencia")</f>
        <v>#REF!</v>
      </c>
      <c r="C122" s="8" t="e">
        <f>IF(Incidencias!#REF!="Mejora","NA",IF(OR(Incidencias!#REF!="Abierta",Incidencias!#REF!="En proceso",Incidencias!#REF!="Info cliente")=TRUE,"En curso",IF(Incidencias!#REF!="Descartada","Descartada","Entregada")))</f>
        <v>#REF!</v>
      </c>
      <c r="D122" s="8" t="e">
        <f>IF(C122="En curso",
IF(Incidencias!#REF!="Sí","Bloqueante",
IF(Incidencias!#REF!="No","No bloqueante","NA")),"NA")</f>
        <v>#REF!</v>
      </c>
      <c r="E122" s="8" t="e">
        <f>IF(C122="En curso",
IF(Incidencias!#REF!="Usuario","Usuario",
IF(Incidencias!#REF!="Proceso","Proceso","NA")),"NA")</f>
        <v>#REF!</v>
      </c>
    </row>
    <row r="123" spans="1:5" x14ac:dyDescent="0.25">
      <c r="A123" s="19">
        <f>Incidencias!B181</f>
        <v>0</v>
      </c>
      <c r="B123" s="16" t="e">
        <f>IF(Incidencias!#REF!="Mejora","Mejora","Incidencia")</f>
        <v>#REF!</v>
      </c>
      <c r="C123" s="8" t="e">
        <f>IF(Incidencias!#REF!="Mejora","NA",IF(OR(Incidencias!#REF!="Abierta",Incidencias!#REF!="En proceso",Incidencias!#REF!="Info cliente")=TRUE,"En curso",IF(Incidencias!#REF!="Descartada","Descartada","Entregada")))</f>
        <v>#REF!</v>
      </c>
      <c r="D123" s="8" t="e">
        <f>IF(C123="En curso",
IF(Incidencias!#REF!="Sí","Bloqueante",
IF(Incidencias!#REF!="No","No bloqueante","NA")),"NA")</f>
        <v>#REF!</v>
      </c>
      <c r="E123" s="8" t="e">
        <f>IF(C123="En curso",
IF(Incidencias!#REF!="Usuario","Usuario",
IF(Incidencias!#REF!="Proceso","Proceso","NA")),"NA")</f>
        <v>#REF!</v>
      </c>
    </row>
    <row r="124" spans="1:5" x14ac:dyDescent="0.25">
      <c r="A124" s="19">
        <f>Incidencias!B84</f>
        <v>0</v>
      </c>
      <c r="B124" s="16" t="e">
        <f>IF(Incidencias!#REF!="Mejora","Mejora","Incidencia")</f>
        <v>#REF!</v>
      </c>
      <c r="C124" s="8" t="e">
        <f>IF(Incidencias!#REF!="Mejora","NA",IF(OR(Incidencias!#REF!="Abierta",Incidencias!#REF!="En proceso",Incidencias!#REF!="Info cliente")=TRUE,"En curso",IF(Incidencias!#REF!="Descartada","Descartada","Entregada")))</f>
        <v>#REF!</v>
      </c>
      <c r="D124" s="8" t="e">
        <f>IF(C124="En curso",
IF(Incidencias!#REF!="Sí","Bloqueante",
IF(Incidencias!#REF!="No","No bloqueante","NA")),"NA")</f>
        <v>#REF!</v>
      </c>
      <c r="E124" s="8" t="e">
        <f>IF(C124="En curso",
IF(Incidencias!#REF!="Usuario","Usuario",
IF(Incidencias!#REF!="Proceso","Proceso","NA")),"NA")</f>
        <v>#REF!</v>
      </c>
    </row>
    <row r="125" spans="1:5" x14ac:dyDescent="0.25">
      <c r="A125" s="19">
        <f>Incidencias!B85</f>
        <v>0</v>
      </c>
      <c r="B125" s="16" t="e">
        <f>IF(Incidencias!#REF!="Mejora","Mejora","Incidencia")</f>
        <v>#REF!</v>
      </c>
      <c r="C125" s="8" t="e">
        <f>IF(Incidencias!#REF!="Mejora","NA",IF(OR(Incidencias!#REF!="Abierta",Incidencias!#REF!="En proceso",Incidencias!#REF!="Info cliente")=TRUE,"En curso",IF(Incidencias!#REF!="Descartada","Descartada","Entregada")))</f>
        <v>#REF!</v>
      </c>
      <c r="D125" s="8" t="e">
        <f>IF(C125="En curso",
IF(Incidencias!#REF!="Sí","Bloqueante",
IF(Incidencias!#REF!="No","No bloqueante","NA")),"NA")</f>
        <v>#REF!</v>
      </c>
      <c r="E125" s="8" t="e">
        <f>IF(C125="En curso",
IF(Incidencias!#REF!="Usuario","Usuario",
IF(Incidencias!#REF!="Proceso","Proceso","NA")),"NA")</f>
        <v>#REF!</v>
      </c>
    </row>
    <row r="126" spans="1:5" x14ac:dyDescent="0.25">
      <c r="A126" s="19">
        <f>Incidencias!B86</f>
        <v>0</v>
      </c>
      <c r="B126" s="16" t="e">
        <f>IF(Incidencias!#REF!="Mejora","Mejora","Incidencia")</f>
        <v>#REF!</v>
      </c>
      <c r="C126" s="8" t="e">
        <f>IF(Incidencias!#REF!="Mejora","NA",IF(OR(Incidencias!#REF!="Abierta",Incidencias!#REF!="En proceso",Incidencias!#REF!="Info cliente")=TRUE,"En curso",IF(Incidencias!#REF!="Descartada","Descartada","Entregada")))</f>
        <v>#REF!</v>
      </c>
      <c r="D126" s="8" t="e">
        <f>IF(C126="En curso",
IF(Incidencias!#REF!="Sí","Bloqueante",
IF(Incidencias!#REF!="No","No bloqueante","NA")),"NA")</f>
        <v>#REF!</v>
      </c>
      <c r="E126" s="8" t="e">
        <f>IF(C126="En curso",
IF(Incidencias!#REF!="Usuario","Usuario",
IF(Incidencias!#REF!="Proceso","Proceso","NA")),"NA")</f>
        <v>#REF!</v>
      </c>
    </row>
    <row r="127" spans="1:5" x14ac:dyDescent="0.25">
      <c r="A127" s="19">
        <f>Incidencias!B87</f>
        <v>0</v>
      </c>
      <c r="B127" s="16" t="e">
        <f>IF(Incidencias!#REF!="Mejora","Mejora","Incidencia")</f>
        <v>#REF!</v>
      </c>
      <c r="C127" s="8" t="e">
        <f>IF(Incidencias!#REF!="Mejora","NA",IF(OR(Incidencias!#REF!="Abierta",Incidencias!#REF!="En proceso",Incidencias!#REF!="Info cliente")=TRUE,"En curso",IF(Incidencias!#REF!="Descartada","Descartada","Entregada")))</f>
        <v>#REF!</v>
      </c>
      <c r="D127" s="8" t="e">
        <f>IF(C127="En curso",
IF(Incidencias!#REF!="Sí","Bloqueante",
IF(Incidencias!#REF!="No","No bloqueante","NA")),"NA")</f>
        <v>#REF!</v>
      </c>
      <c r="E127" s="8" t="e">
        <f>IF(C127="En curso",
IF(Incidencias!#REF!="Usuario","Usuario",
IF(Incidencias!#REF!="Proceso","Proceso","NA")),"NA")</f>
        <v>#REF!</v>
      </c>
    </row>
    <row r="128" spans="1:5" x14ac:dyDescent="0.25">
      <c r="A128" s="19">
        <f>Incidencias!B88</f>
        <v>0</v>
      </c>
      <c r="B128" s="16" t="e">
        <f>IF(Incidencias!#REF!="Mejora","Mejora","Incidencia")</f>
        <v>#REF!</v>
      </c>
      <c r="C128" s="8" t="e">
        <f>IF(Incidencias!#REF!="Mejora","NA",IF(OR(Incidencias!#REF!="Abierta",Incidencias!#REF!="En proceso",Incidencias!#REF!="Info cliente")=TRUE,"En curso",IF(Incidencias!#REF!="Descartada","Descartada","Entregada")))</f>
        <v>#REF!</v>
      </c>
      <c r="D128" s="8" t="e">
        <f>IF(C128="En curso",
IF(Incidencias!#REF!="Sí","Bloqueante",
IF(Incidencias!#REF!="No","No bloqueante","NA")),"NA")</f>
        <v>#REF!</v>
      </c>
      <c r="E128" s="8" t="e">
        <f>IF(C128="En curso",
IF(Incidencias!#REF!="Usuario","Usuario",
IF(Incidencias!#REF!="Proceso","Proceso","NA")),"NA")</f>
        <v>#REF!</v>
      </c>
    </row>
    <row r="129" spans="1:5" x14ac:dyDescent="0.25">
      <c r="A129" s="19">
        <f>Incidencias!B163</f>
        <v>0</v>
      </c>
      <c r="B129" s="16" t="e">
        <f>IF(Incidencias!#REF!="Mejora","Mejora","Incidencia")</f>
        <v>#REF!</v>
      </c>
      <c r="C129" s="8" t="e">
        <f>IF(Incidencias!#REF!="Mejora","NA",IF(OR(Incidencias!#REF!="Abierta",Incidencias!#REF!="En proceso",Incidencias!#REF!="Info cliente")=TRUE,"En curso",IF(Incidencias!#REF!="Descartada","Descartada","Entregada")))</f>
        <v>#REF!</v>
      </c>
      <c r="D129" s="8" t="e">
        <f>IF(C129="En curso",
IF(Incidencias!#REF!="Sí","Bloqueante",
IF(Incidencias!#REF!="No","No bloqueante","NA")),"NA")</f>
        <v>#REF!</v>
      </c>
      <c r="E129" s="8" t="e">
        <f>IF(C129="En curso",
IF(Incidencias!#REF!="Usuario","Usuario",
IF(Incidencias!#REF!="Proceso","Proceso","NA")),"NA")</f>
        <v>#REF!</v>
      </c>
    </row>
    <row r="130" spans="1:5" x14ac:dyDescent="0.25">
      <c r="A130" s="19">
        <f>Incidencias!B164</f>
        <v>0</v>
      </c>
      <c r="B130" s="16" t="e">
        <f>IF(Incidencias!#REF!="Mejora","Mejora","Incidencia")</f>
        <v>#REF!</v>
      </c>
      <c r="C130" s="8" t="e">
        <f>IF(Incidencias!#REF!="Mejora","NA",IF(OR(Incidencias!#REF!="Abierta",Incidencias!#REF!="En proceso",Incidencias!#REF!="Info cliente")=TRUE,"En curso",IF(Incidencias!#REF!="Descartada","Descartada","Entregada")))</f>
        <v>#REF!</v>
      </c>
      <c r="D130" s="8" t="e">
        <f>IF(C130="En curso",
IF(Incidencias!#REF!="Sí","Bloqueante",
IF(Incidencias!#REF!="No","No bloqueante","NA")),"NA")</f>
        <v>#REF!</v>
      </c>
      <c r="E130" s="8" t="e">
        <f>IF(C130="En curso",
IF(Incidencias!#REF!="Usuario","Usuario",
IF(Incidencias!#REF!="Proceso","Proceso","NA")),"NA")</f>
        <v>#REF!</v>
      </c>
    </row>
    <row r="131" spans="1:5" x14ac:dyDescent="0.25">
      <c r="A131" s="19">
        <f>Incidencias!B166</f>
        <v>0</v>
      </c>
      <c r="B131" s="16" t="e">
        <f>IF(Incidencias!#REF!="Mejora","Mejora","Incidencia")</f>
        <v>#REF!</v>
      </c>
      <c r="C131" s="8" t="e">
        <f>IF(Incidencias!#REF!="Mejora","NA",IF(OR(Incidencias!#REF!="Abierta",Incidencias!#REF!="En proceso",Incidencias!#REF!="Info cliente")=TRUE,"En curso",IF(Incidencias!#REF!="Descartada","Descartada","Entregada")))</f>
        <v>#REF!</v>
      </c>
      <c r="D131" s="8" t="e">
        <f>IF(C131="En curso",
IF(Incidencias!#REF!="Sí","Bloqueante",
IF(Incidencias!#REF!="No","No bloqueante","NA")),"NA")</f>
        <v>#REF!</v>
      </c>
      <c r="E131" s="8" t="e">
        <f>IF(C131="En curso",
IF(Incidencias!#REF!="Usuario","Usuario",
IF(Incidencias!#REF!="Proceso","Proceso","NA")),"NA")</f>
        <v>#REF!</v>
      </c>
    </row>
    <row r="132" spans="1:5" x14ac:dyDescent="0.25">
      <c r="A132" s="19">
        <f>Incidencias!B167</f>
        <v>0</v>
      </c>
      <c r="B132" s="16" t="e">
        <f>IF(Incidencias!#REF!="Mejora","Mejora","Incidencia")</f>
        <v>#REF!</v>
      </c>
      <c r="C132" s="8" t="e">
        <f>IF(Incidencias!#REF!="Mejora","NA",IF(OR(Incidencias!#REF!="Abierta",Incidencias!#REF!="En proceso",Incidencias!#REF!="Info cliente")=TRUE,"En curso",IF(Incidencias!#REF!="Descartada","Descartada","Entregada")))</f>
        <v>#REF!</v>
      </c>
      <c r="D132" s="8" t="e">
        <f>IF(C132="En curso",
IF(Incidencias!#REF!="Sí","Bloqueante",
IF(Incidencias!#REF!="No","No bloqueante","NA")),"NA")</f>
        <v>#REF!</v>
      </c>
      <c r="E132" s="8" t="e">
        <f>IF(C132="En curso",
IF(Incidencias!#REF!="Usuario","Usuario",
IF(Incidencias!#REF!="Proceso","Proceso","NA")),"NA")</f>
        <v>#REF!</v>
      </c>
    </row>
    <row r="133" spans="1:5" x14ac:dyDescent="0.25">
      <c r="A133" s="19">
        <f>Incidencias!B168</f>
        <v>0</v>
      </c>
      <c r="B133" s="16" t="e">
        <f>IF(Incidencias!#REF!="Mejora","Mejora","Incidencia")</f>
        <v>#REF!</v>
      </c>
      <c r="C133" s="8" t="e">
        <f>IF(Incidencias!#REF!="Mejora","NA",IF(OR(Incidencias!#REF!="Abierta",Incidencias!#REF!="En proceso",Incidencias!#REF!="Info cliente")=TRUE,"En curso",IF(Incidencias!#REF!="Descartada","Descartada","Entregada")))</f>
        <v>#REF!</v>
      </c>
      <c r="D133" s="8" t="e">
        <f>IF(C133="En curso",
IF(Incidencias!#REF!="Sí","Bloqueante",
IF(Incidencias!#REF!="No","No bloqueante","NA")),"NA")</f>
        <v>#REF!</v>
      </c>
      <c r="E133" s="8" t="e">
        <f>IF(C133="En curso",
IF(Incidencias!#REF!="Usuario","Usuario",
IF(Incidencias!#REF!="Proceso","Proceso","NA")),"NA")</f>
        <v>#REF!</v>
      </c>
    </row>
    <row r="134" spans="1:5" x14ac:dyDescent="0.25">
      <c r="A134" s="19">
        <f>Incidencias!B169</f>
        <v>0</v>
      </c>
      <c r="B134" s="16" t="e">
        <f>IF(Incidencias!#REF!="Mejora","Mejora","Incidencia")</f>
        <v>#REF!</v>
      </c>
      <c r="C134" s="8" t="e">
        <f>IF(Incidencias!#REF!="Mejora","NA",IF(OR(Incidencias!#REF!="Abierta",Incidencias!#REF!="En proceso",Incidencias!#REF!="Info cliente")=TRUE,"En curso",IF(Incidencias!#REF!="Descartada","Descartada","Entregada")))</f>
        <v>#REF!</v>
      </c>
      <c r="D134" s="8" t="e">
        <f>IF(C134="En curso",
IF(Incidencias!#REF!="Sí","Bloqueante",
IF(Incidencias!#REF!="No","No bloqueante","NA")),"NA")</f>
        <v>#REF!</v>
      </c>
      <c r="E134" s="8" t="e">
        <f>IF(C134="En curso",
IF(Incidencias!#REF!="Usuario","Usuario",
IF(Incidencias!#REF!="Proceso","Proceso","NA")),"NA")</f>
        <v>#REF!</v>
      </c>
    </row>
    <row r="135" spans="1:5" x14ac:dyDescent="0.25">
      <c r="A135" s="19" t="e">
        <f>Incidencias!#REF!</f>
        <v>#REF!</v>
      </c>
      <c r="B135" s="16" t="e">
        <f>IF(Incidencias!#REF!="Mejora","Mejora","Incidencia")</f>
        <v>#REF!</v>
      </c>
      <c r="C135" s="8" t="e">
        <f>IF(Incidencias!#REF!="Mejora","NA",IF(OR(Incidencias!#REF!="Abierta",Incidencias!#REF!="En proceso",Incidencias!#REF!="Info cliente")=TRUE,"En curso",IF(Incidencias!#REF!="Descartada","Descartada","Entregada")))</f>
        <v>#REF!</v>
      </c>
      <c r="D135" s="8" t="e">
        <f>IF(C135="En curso",
IF(Incidencias!#REF!="Sí","Bloqueante",
IF(Incidencias!#REF!="No","No bloqueante","NA")),"NA")</f>
        <v>#REF!</v>
      </c>
      <c r="E135" s="8" t="e">
        <f>IF(C135="En curso",
IF(Incidencias!#REF!="Usuario","Usuario",
IF(Incidencias!#REF!="Proceso","Proceso","NA")),"NA")</f>
        <v>#REF!</v>
      </c>
    </row>
    <row r="136" spans="1:5" x14ac:dyDescent="0.25">
      <c r="A136" s="19">
        <f>Incidencias!B175</f>
        <v>0</v>
      </c>
      <c r="B136" s="16" t="e">
        <f>IF(Incidencias!#REF!="Mejora","Mejora","Incidencia")</f>
        <v>#REF!</v>
      </c>
      <c r="C136" s="8" t="e">
        <f>IF(Incidencias!#REF!="Mejora","NA",IF(OR(Incidencias!#REF!="Abierta",Incidencias!#REF!="En proceso",Incidencias!#REF!="Info cliente")=TRUE,"En curso",IF(Incidencias!#REF!="Descartada","Descartada","Entregada")))</f>
        <v>#REF!</v>
      </c>
      <c r="D136" s="8" t="e">
        <f>IF(C136="En curso",
IF(Incidencias!#REF!="Sí","Bloqueante",
IF(Incidencias!#REF!="No","No bloqueante","NA")),"NA")</f>
        <v>#REF!</v>
      </c>
      <c r="E136" s="8" t="e">
        <f>IF(C136="En curso",
IF(Incidencias!#REF!="Usuario","Usuario",
IF(Incidencias!#REF!="Proceso","Proceso","NA")),"NA")</f>
        <v>#REF!</v>
      </c>
    </row>
    <row r="137" spans="1:5" x14ac:dyDescent="0.25">
      <c r="A137" s="19">
        <f>Incidencias!B176</f>
        <v>0</v>
      </c>
      <c r="B137" s="16" t="e">
        <f>IF(Incidencias!#REF!="Mejora","Mejora","Incidencia")</f>
        <v>#REF!</v>
      </c>
      <c r="C137" s="8" t="e">
        <f>IF(Incidencias!#REF!="Mejora","NA",IF(OR(Incidencias!#REF!="Abierta",Incidencias!#REF!="En proceso",Incidencias!#REF!="Info cliente")=TRUE,"En curso",IF(Incidencias!#REF!="Descartada","Descartada","Entregada")))</f>
        <v>#REF!</v>
      </c>
      <c r="D137" s="8" t="e">
        <f>IF(C137="En curso",
IF(Incidencias!#REF!="Sí","Bloqueante",
IF(Incidencias!#REF!="No","No bloqueante","NA")),"NA")</f>
        <v>#REF!</v>
      </c>
      <c r="E137" s="8" t="e">
        <f>IF(C137="En curso",
IF(Incidencias!#REF!="Usuario","Usuario",
IF(Incidencias!#REF!="Proceso","Proceso","NA")),"NA")</f>
        <v>#REF!</v>
      </c>
    </row>
    <row r="138" spans="1:5" x14ac:dyDescent="0.25">
      <c r="A138" s="19" t="e">
        <f>Incidencias!#REF!</f>
        <v>#REF!</v>
      </c>
      <c r="B138" s="16" t="e">
        <f>IF(Incidencias!#REF!="Mejora","Mejora","Incidencia")</f>
        <v>#REF!</v>
      </c>
      <c r="C138" s="8" t="e">
        <f>IF(Incidencias!#REF!="Mejora","NA",IF(OR(Incidencias!#REF!="Abierta",Incidencias!#REF!="En proceso",Incidencias!#REF!="Info cliente")=TRUE,"En curso",IF(Incidencias!#REF!="Descartada","Descartada","Entregada")))</f>
        <v>#REF!</v>
      </c>
      <c r="D138" s="8" t="e">
        <f>IF(C138="En curso",
IF(Incidencias!#REF!="Sí","Bloqueante",
IF(Incidencias!#REF!="No","No bloqueante","NA")),"NA")</f>
        <v>#REF!</v>
      </c>
      <c r="E138" s="8" t="e">
        <f>IF(C138="En curso",
IF(Incidencias!#REF!="Usuario","Usuario",
IF(Incidencias!#REF!="Proceso","Proceso","NA")),"NA")</f>
        <v>#REF!</v>
      </c>
    </row>
    <row r="139" spans="1:5" x14ac:dyDescent="0.25">
      <c r="A139" s="19" t="e">
        <f>Incidencias!#REF!</f>
        <v>#REF!</v>
      </c>
      <c r="B139" s="16" t="e">
        <f>IF(Incidencias!#REF!="Mejora","Mejora","Incidencia")</f>
        <v>#REF!</v>
      </c>
      <c r="C139" s="8" t="e">
        <f>IF(Incidencias!#REF!="Mejora","NA",IF(OR(Incidencias!#REF!="Abierta",Incidencias!#REF!="En proceso",Incidencias!#REF!="Info cliente")=TRUE,"En curso",IF(Incidencias!#REF!="Descartada","Descartada","Entregada")))</f>
        <v>#REF!</v>
      </c>
      <c r="D139" s="8" t="e">
        <f>IF(C139="En curso",
IF(Incidencias!#REF!="Sí","Bloqueante",
IF(Incidencias!#REF!="No","No bloqueante","NA")),"NA")</f>
        <v>#REF!</v>
      </c>
      <c r="E139" s="8" t="e">
        <f>IF(C139="En curso",
IF(Incidencias!#REF!="Usuario","Usuario",
IF(Incidencias!#REF!="Proceso","Proceso","NA")),"NA")</f>
        <v>#REF!</v>
      </c>
    </row>
    <row r="140" spans="1:5" x14ac:dyDescent="0.25">
      <c r="A140" s="19" t="e">
        <f>Incidencias!#REF!</f>
        <v>#REF!</v>
      </c>
      <c r="B140" s="16" t="e">
        <f>IF(Incidencias!#REF!="Mejora","Mejora","Incidencia")</f>
        <v>#REF!</v>
      </c>
      <c r="C140" s="8" t="e">
        <f>IF(Incidencias!#REF!="Mejora","NA",IF(OR(Incidencias!#REF!="Abierta",Incidencias!#REF!="En proceso",Incidencias!#REF!="Info cliente")=TRUE,"En curso",IF(Incidencias!#REF!="Descartada","Descartada","Entregada")))</f>
        <v>#REF!</v>
      </c>
      <c r="D140" s="8" t="e">
        <f>IF(C140="En curso",
IF(Incidencias!#REF!="Sí","Bloqueante",
IF(Incidencias!#REF!="No","No bloqueante","NA")),"NA")</f>
        <v>#REF!</v>
      </c>
      <c r="E140" s="8" t="e">
        <f>IF(C140="En curso",
IF(Incidencias!#REF!="Usuario","Usuario",
IF(Incidencias!#REF!="Proceso","Proceso","NA")),"NA")</f>
        <v>#REF!</v>
      </c>
    </row>
    <row r="141" spans="1:5" x14ac:dyDescent="0.25">
      <c r="A141" s="19" t="e">
        <f>Incidencias!#REF!</f>
        <v>#REF!</v>
      </c>
      <c r="B141" s="16" t="e">
        <f>IF(Incidencias!#REF!="Mejora","Mejora","Incidencia")</f>
        <v>#REF!</v>
      </c>
      <c r="C141" s="8" t="e">
        <f>IF(Incidencias!#REF!="Mejora","NA",IF(OR(Incidencias!#REF!="Abierta",Incidencias!#REF!="En proceso",Incidencias!#REF!="Info cliente")=TRUE,"En curso",IF(Incidencias!#REF!="Descartada","Descartada","Entregada")))</f>
        <v>#REF!</v>
      </c>
      <c r="D141" s="8" t="e">
        <f>IF(C141="En curso",
IF(Incidencias!#REF!="Sí","Bloqueante",
IF(Incidencias!#REF!="No","No bloqueante","NA")),"NA")</f>
        <v>#REF!</v>
      </c>
      <c r="E141" s="8" t="e">
        <f>IF(C141="En curso",
IF(Incidencias!#REF!="Usuario","Usuario",
IF(Incidencias!#REF!="Proceso","Proceso","NA")),"NA")</f>
        <v>#REF!</v>
      </c>
    </row>
    <row r="142" spans="1:5" x14ac:dyDescent="0.25">
      <c r="A142" s="19" t="e">
        <f>Incidencias!#REF!</f>
        <v>#REF!</v>
      </c>
      <c r="B142" s="16" t="e">
        <f>IF(Incidencias!#REF!="Mejora","Mejora","Incidencia")</f>
        <v>#REF!</v>
      </c>
      <c r="C142" s="8" t="e">
        <f>IF(Incidencias!#REF!="Mejora","NA",IF(OR(Incidencias!#REF!="Abierta",Incidencias!#REF!="En proceso",Incidencias!#REF!="Info cliente")=TRUE,"En curso",IF(Incidencias!#REF!="Descartada","Descartada","Entregada")))</f>
        <v>#REF!</v>
      </c>
      <c r="D142" s="8" t="e">
        <f>IF(C142="En curso",
IF(Incidencias!#REF!="Sí","Bloqueante",
IF(Incidencias!#REF!="No","No bloqueante","NA")),"NA")</f>
        <v>#REF!</v>
      </c>
      <c r="E142" s="8" t="e">
        <f>IF(C142="En curso",
IF(Incidencias!#REF!="Usuario","Usuario",
IF(Incidencias!#REF!="Proceso","Proceso","NA")),"NA")</f>
        <v>#REF!</v>
      </c>
    </row>
    <row r="143" spans="1:5" x14ac:dyDescent="0.25">
      <c r="A143" s="19" t="e">
        <f>Incidencias!#REF!</f>
        <v>#REF!</v>
      </c>
      <c r="B143" s="16" t="e">
        <f>IF(Incidencias!#REF!="Mejora","Mejora","Incidencia")</f>
        <v>#REF!</v>
      </c>
      <c r="C143" s="8" t="e">
        <f>IF(Incidencias!#REF!="Mejora","NA",IF(OR(Incidencias!#REF!="Abierta",Incidencias!#REF!="En proceso",Incidencias!#REF!="Info cliente")=TRUE,"En curso",IF(Incidencias!#REF!="Descartada","Descartada","Entregada")))</f>
        <v>#REF!</v>
      </c>
      <c r="D143" s="8" t="e">
        <f>IF(C143="En curso",
IF(Incidencias!#REF!="Sí","Bloqueante",
IF(Incidencias!#REF!="No","No bloqueante","NA")),"NA")</f>
        <v>#REF!</v>
      </c>
      <c r="E143" s="8" t="e">
        <f>IF(C143="En curso",
IF(Incidencias!#REF!="Usuario","Usuario",
IF(Incidencias!#REF!="Proceso","Proceso","NA")),"NA")</f>
        <v>#REF!</v>
      </c>
    </row>
    <row r="144" spans="1:5" x14ac:dyDescent="0.25">
      <c r="A144" s="19">
        <f>Incidencias!B212</f>
        <v>0</v>
      </c>
      <c r="B144" s="16" t="e">
        <f>IF(Incidencias!#REF!="Mejora","Mejora","Incidencia")</f>
        <v>#REF!</v>
      </c>
      <c r="C144" s="8" t="e">
        <f>IF(Incidencias!#REF!="Mejora","NA",IF(OR(Incidencias!#REF!="Abierta",Incidencias!#REF!="En proceso",Incidencias!#REF!="Info cliente")=TRUE,"En curso",IF(Incidencias!#REF!="Descartada","Descartada","Entregada")))</f>
        <v>#REF!</v>
      </c>
      <c r="D144" s="8" t="e">
        <f>IF(C144="En curso",
IF(Incidencias!#REF!="Sí","Bloqueante",
IF(Incidencias!#REF!="No","No bloqueante","NA")),"NA")</f>
        <v>#REF!</v>
      </c>
      <c r="E144" s="8" t="e">
        <f>IF(C144="En curso",
IF(Incidencias!#REF!="Usuario","Usuario",
IF(Incidencias!#REF!="Proceso","Proceso","NA")),"NA")</f>
        <v>#REF!</v>
      </c>
    </row>
    <row r="145" spans="1:5" x14ac:dyDescent="0.25">
      <c r="A145" s="19">
        <f>Incidencias!B213</f>
        <v>0</v>
      </c>
      <c r="B145" s="16" t="e">
        <f>IF(Incidencias!#REF!="Mejora","Mejora","Incidencia")</f>
        <v>#REF!</v>
      </c>
      <c r="C145" s="8" t="e">
        <f>IF(Incidencias!#REF!="Mejora","NA",IF(OR(Incidencias!#REF!="Abierta",Incidencias!#REF!="En proceso",Incidencias!#REF!="Info cliente")=TRUE,"En curso",IF(Incidencias!#REF!="Descartada","Descartada","Entregada")))</f>
        <v>#REF!</v>
      </c>
      <c r="D145" s="8" t="e">
        <f>IF(C145="En curso",
IF(Incidencias!#REF!="Sí","Bloqueante",
IF(Incidencias!#REF!="No","No bloqueante","NA")),"NA")</f>
        <v>#REF!</v>
      </c>
      <c r="E145" s="8" t="e">
        <f>IF(C145="En curso",
IF(Incidencias!#REF!="Usuario","Usuario",
IF(Incidencias!#REF!="Proceso","Proceso","NA")),"NA")</f>
        <v>#REF!</v>
      </c>
    </row>
    <row r="146" spans="1:5" x14ac:dyDescent="0.25">
      <c r="A146" s="19">
        <f>Incidencias!B214</f>
        <v>0</v>
      </c>
      <c r="B146" s="16" t="e">
        <f>IF(Incidencias!#REF!="Mejora","Mejora","Incidencia")</f>
        <v>#REF!</v>
      </c>
      <c r="C146" s="8" t="e">
        <f>IF(Incidencias!#REF!="Mejora","NA",IF(OR(Incidencias!#REF!="Abierta",Incidencias!#REF!="En proceso",Incidencias!#REF!="Info cliente")=TRUE,"En curso",IF(Incidencias!#REF!="Descartada","Descartada","Entregada")))</f>
        <v>#REF!</v>
      </c>
      <c r="D146" s="8" t="e">
        <f>IF(C146="En curso",
IF(Incidencias!#REF!="Sí","Bloqueante",
IF(Incidencias!#REF!="No","No bloqueante","NA")),"NA")</f>
        <v>#REF!</v>
      </c>
      <c r="E146" s="8" t="e">
        <f>IF(C146="En curso",
IF(Incidencias!#REF!="Usuario","Usuario",
IF(Incidencias!#REF!="Proceso","Proceso","NA")),"NA")</f>
        <v>#REF!</v>
      </c>
    </row>
    <row r="147" spans="1:5" x14ac:dyDescent="0.25">
      <c r="A147" s="19">
        <f>Incidencias!B215</f>
        <v>0</v>
      </c>
      <c r="B147" s="16" t="e">
        <f>IF(Incidencias!#REF!="Mejora","Mejora","Incidencia")</f>
        <v>#REF!</v>
      </c>
      <c r="C147" s="8" t="e">
        <f>IF(Incidencias!#REF!="Mejora","NA",IF(OR(Incidencias!#REF!="Abierta",Incidencias!#REF!="En proceso",Incidencias!#REF!="Info cliente")=TRUE,"En curso",IF(Incidencias!#REF!="Descartada","Descartada","Entregada")))</f>
        <v>#REF!</v>
      </c>
      <c r="D147" s="8" t="e">
        <f>IF(C147="En curso",
IF(Incidencias!#REF!="Sí","Bloqueante",
IF(Incidencias!#REF!="No","No bloqueante","NA")),"NA")</f>
        <v>#REF!</v>
      </c>
      <c r="E147" s="8" t="e">
        <f>IF(C147="En curso",
IF(Incidencias!#REF!="Usuario","Usuario",
IF(Incidencias!#REF!="Proceso","Proceso","NA")),"NA")</f>
        <v>#REF!</v>
      </c>
    </row>
    <row r="148" spans="1:5" x14ac:dyDescent="0.25">
      <c r="A148" s="19">
        <f>Incidencias!B216</f>
        <v>0</v>
      </c>
      <c r="B148" s="16" t="e">
        <f>IF(Incidencias!#REF!="Mejora","Mejora","Incidencia")</f>
        <v>#REF!</v>
      </c>
      <c r="C148" s="8" t="e">
        <f>IF(Incidencias!#REF!="Mejora","NA",IF(OR(Incidencias!#REF!="Abierta",Incidencias!#REF!="En proceso",Incidencias!#REF!="Info cliente")=TRUE,"En curso",IF(Incidencias!#REF!="Descartada","Descartada","Entregada")))</f>
        <v>#REF!</v>
      </c>
      <c r="D148" s="8" t="e">
        <f>IF(C148="En curso",
IF(Incidencias!#REF!="Sí","Bloqueante",
IF(Incidencias!#REF!="No","No bloqueante","NA")),"NA")</f>
        <v>#REF!</v>
      </c>
      <c r="E148" s="8" t="e">
        <f>IF(C148="En curso",
IF(Incidencias!#REF!="Usuario","Usuario",
IF(Incidencias!#REF!="Proceso","Proceso","NA")),"NA")</f>
        <v>#REF!</v>
      </c>
    </row>
    <row r="149" spans="1:5" x14ac:dyDescent="0.25">
      <c r="A149" s="19">
        <f>Incidencias!B217</f>
        <v>0</v>
      </c>
      <c r="B149" s="16" t="e">
        <f>IF(Incidencias!#REF!="Mejora","Mejora","Incidencia")</f>
        <v>#REF!</v>
      </c>
      <c r="C149" s="8" t="e">
        <f>IF(Incidencias!#REF!="Mejora","NA",IF(OR(Incidencias!#REF!="Abierta",Incidencias!#REF!="En proceso",Incidencias!#REF!="Info cliente")=TRUE,"En curso",IF(Incidencias!#REF!="Descartada","Descartada","Entregada")))</f>
        <v>#REF!</v>
      </c>
      <c r="D149" s="8" t="e">
        <f>IF(C149="En curso",
IF(Incidencias!#REF!="Sí","Bloqueante",
IF(Incidencias!#REF!="No","No bloqueante","NA")),"NA")</f>
        <v>#REF!</v>
      </c>
      <c r="E149" s="8" t="e">
        <f>IF(C149="En curso",
IF(Incidencias!#REF!="Usuario","Usuario",
IF(Incidencias!#REF!="Proceso","Proceso","NA")),"NA")</f>
        <v>#REF!</v>
      </c>
    </row>
    <row r="150" spans="1:5" x14ac:dyDescent="0.25">
      <c r="A150" s="19">
        <f>Incidencias!B218</f>
        <v>0</v>
      </c>
      <c r="B150" s="16" t="e">
        <f>IF(Incidencias!#REF!="Mejora","Mejora","Incidencia")</f>
        <v>#REF!</v>
      </c>
      <c r="C150" s="8" t="e">
        <f>IF(Incidencias!#REF!="Mejora","NA",IF(OR(Incidencias!#REF!="Abierta",Incidencias!#REF!="En proceso",Incidencias!#REF!="Info cliente")=TRUE,"En curso",IF(Incidencias!#REF!="Descartada","Descartada","Entregada")))</f>
        <v>#REF!</v>
      </c>
      <c r="D150" s="8" t="e">
        <f>IF(C150="En curso",
IF(Incidencias!#REF!="Sí","Bloqueante",
IF(Incidencias!#REF!="No","No bloqueante","NA")),"NA")</f>
        <v>#REF!</v>
      </c>
      <c r="E150" s="8" t="e">
        <f>IF(C150="En curso",
IF(Incidencias!#REF!="Usuario","Usuario",
IF(Incidencias!#REF!="Proceso","Proceso","NA")),"NA")</f>
        <v>#REF!</v>
      </c>
    </row>
    <row r="151" spans="1:5" x14ac:dyDescent="0.25">
      <c r="A151" s="19">
        <f>Incidencias!B219</f>
        <v>0</v>
      </c>
      <c r="B151" s="16" t="e">
        <f>IF(Incidencias!#REF!="Mejora","Mejora","Incidencia")</f>
        <v>#REF!</v>
      </c>
      <c r="C151" s="8" t="e">
        <f>IF(Incidencias!#REF!="Mejora","NA",IF(OR(Incidencias!#REF!="Abierta",Incidencias!#REF!="En proceso",Incidencias!#REF!="Info cliente")=TRUE,"En curso",IF(Incidencias!#REF!="Descartada","Descartada","Entregada")))</f>
        <v>#REF!</v>
      </c>
      <c r="D151" s="8" t="e">
        <f>IF(C151="En curso",
IF(Incidencias!#REF!="Sí","Bloqueante",
IF(Incidencias!#REF!="No","No bloqueante","NA")),"NA")</f>
        <v>#REF!</v>
      </c>
      <c r="E151" s="8" t="e">
        <f>IF(C151="En curso",
IF(Incidencias!#REF!="Usuario","Usuario",
IF(Incidencias!#REF!="Proceso","Proceso","NA")),"NA")</f>
        <v>#REF!</v>
      </c>
    </row>
    <row r="152" spans="1:5" x14ac:dyDescent="0.25">
      <c r="A152" s="19">
        <f>Incidencias!B220</f>
        <v>0</v>
      </c>
      <c r="B152" s="16" t="e">
        <f>IF(Incidencias!#REF!="Mejora","Mejora","Incidencia")</f>
        <v>#REF!</v>
      </c>
      <c r="C152" s="8" t="e">
        <f>IF(Incidencias!#REF!="Mejora","NA",IF(OR(Incidencias!#REF!="Abierta",Incidencias!#REF!="En proceso",Incidencias!#REF!="Info cliente")=TRUE,"En curso",IF(Incidencias!#REF!="Descartada","Descartada","Entregada")))</f>
        <v>#REF!</v>
      </c>
      <c r="D152" s="8" t="e">
        <f>IF(C152="En curso",
IF(Incidencias!#REF!="Sí","Bloqueante",
IF(Incidencias!#REF!="No","No bloqueante","NA")),"NA")</f>
        <v>#REF!</v>
      </c>
      <c r="E152" s="8" t="e">
        <f>IF(C152="En curso",
IF(Incidencias!#REF!="Usuario","Usuario",
IF(Incidencias!#REF!="Proceso","Proceso","NA")),"NA")</f>
        <v>#REF!</v>
      </c>
    </row>
    <row r="153" spans="1:5" x14ac:dyDescent="0.25">
      <c r="A153" s="19">
        <f>Incidencias!B221</f>
        <v>0</v>
      </c>
      <c r="B153" s="16" t="e">
        <f>IF(Incidencias!#REF!="Mejora","Mejora","Incidencia")</f>
        <v>#REF!</v>
      </c>
      <c r="C153" s="8" t="e">
        <f>IF(Incidencias!#REF!="Mejora","NA",IF(OR(Incidencias!#REF!="Abierta",Incidencias!#REF!="En proceso",Incidencias!#REF!="Info cliente")=TRUE,"En curso",IF(Incidencias!#REF!="Descartada","Descartada","Entregada")))</f>
        <v>#REF!</v>
      </c>
      <c r="D153" s="8" t="e">
        <f>IF(C153="En curso",
IF(Incidencias!#REF!="Sí","Bloqueante",
IF(Incidencias!#REF!="No","No bloqueante","NA")),"NA")</f>
        <v>#REF!</v>
      </c>
      <c r="E153" s="8" t="e">
        <f>IF(C153="En curso",
IF(Incidencias!#REF!="Usuario","Usuario",
IF(Incidencias!#REF!="Proceso","Proceso","NA")),"NA")</f>
        <v>#REF!</v>
      </c>
    </row>
    <row r="154" spans="1:5" x14ac:dyDescent="0.25">
      <c r="A154" s="19" t="e">
        <f>Incidencias!#REF!</f>
        <v>#REF!</v>
      </c>
      <c r="B154" s="16" t="e">
        <f>IF(Incidencias!#REF!="Mejora","Mejora","Incidencia")</f>
        <v>#REF!</v>
      </c>
      <c r="C154" s="8" t="e">
        <f>IF(Incidencias!#REF!="Mejora","NA",IF(OR(Incidencias!#REF!="Abierta",Incidencias!#REF!="En proceso",Incidencias!#REF!="Info cliente")=TRUE,"En curso",IF(Incidencias!#REF!="Descartada","Descartada","Entregada")))</f>
        <v>#REF!</v>
      </c>
      <c r="D154" s="8" t="e">
        <f>IF(C154="En curso",
IF(Incidencias!#REF!="Sí","Bloqueante",
IF(Incidencias!#REF!="No","No bloqueante","NA")),"NA")</f>
        <v>#REF!</v>
      </c>
      <c r="E154" s="8" t="e">
        <f>IF(C154="En curso",
IF(Incidencias!#REF!="Usuario","Usuario",
IF(Incidencias!#REF!="Proceso","Proceso","NA")),"NA")</f>
        <v>#REF!</v>
      </c>
    </row>
    <row r="155" spans="1:5" x14ac:dyDescent="0.25">
      <c r="A155" s="19" t="e">
        <f>Incidencias!#REF!</f>
        <v>#REF!</v>
      </c>
      <c r="B155" s="16" t="e">
        <f>IF(Incidencias!#REF!="Mejora","Mejora","Incidencia")</f>
        <v>#REF!</v>
      </c>
      <c r="C155" s="8" t="e">
        <f>IF(Incidencias!#REF!="Mejora","NA",IF(OR(Incidencias!#REF!="Abierta",Incidencias!#REF!="En proceso",Incidencias!#REF!="Info cliente")=TRUE,"En curso",IF(Incidencias!#REF!="Descartada","Descartada","Entregada")))</f>
        <v>#REF!</v>
      </c>
      <c r="D155" s="8" t="e">
        <f>IF(C155="En curso",
IF(Incidencias!#REF!="Sí","Bloqueante",
IF(Incidencias!#REF!="No","No bloqueante","NA")),"NA")</f>
        <v>#REF!</v>
      </c>
      <c r="E155" s="8" t="e">
        <f>IF(C155="En curso",
IF(Incidencias!#REF!="Usuario","Usuario",
IF(Incidencias!#REF!="Proceso","Proceso","NA")),"NA")</f>
        <v>#REF!</v>
      </c>
    </row>
    <row r="156" spans="1:5" x14ac:dyDescent="0.25">
      <c r="A156" s="19" t="e">
        <f>Incidencias!#REF!</f>
        <v>#REF!</v>
      </c>
      <c r="B156" s="16" t="e">
        <f>IF(Incidencias!#REF!="Mejora","Mejora","Incidencia")</f>
        <v>#REF!</v>
      </c>
      <c r="C156" s="8" t="e">
        <f>IF(Incidencias!#REF!="Mejora","NA",IF(OR(Incidencias!#REF!="Abierta",Incidencias!#REF!="En proceso",Incidencias!#REF!="Info cliente")=TRUE,"En curso",IF(Incidencias!#REF!="Descartada","Descartada","Entregada")))</f>
        <v>#REF!</v>
      </c>
      <c r="D156" s="8" t="e">
        <f>IF(C156="En curso",
IF(Incidencias!#REF!="Sí","Bloqueante",
IF(Incidencias!#REF!="No","No bloqueante","NA")),"NA")</f>
        <v>#REF!</v>
      </c>
      <c r="E156" s="8" t="e">
        <f>IF(C156="En curso",
IF(Incidencias!#REF!="Usuario","Usuario",
IF(Incidencias!#REF!="Proceso","Proceso","NA")),"NA")</f>
        <v>#REF!</v>
      </c>
    </row>
    <row r="157" spans="1:5" x14ac:dyDescent="0.25">
      <c r="A157" s="19">
        <f>Incidencias!B222</f>
        <v>0</v>
      </c>
      <c r="B157" s="16" t="e">
        <f>IF(Incidencias!#REF!="Mejora","Mejora","Incidencia")</f>
        <v>#REF!</v>
      </c>
      <c r="C157" s="8" t="e">
        <f>IF(Incidencias!#REF!="Mejora","NA",IF(OR(Incidencias!#REF!="Abierta",Incidencias!#REF!="En proceso",Incidencias!#REF!="Info cliente")=TRUE,"En curso",IF(Incidencias!#REF!="Descartada","Descartada","Entregada")))</f>
        <v>#REF!</v>
      </c>
      <c r="D157" s="8" t="e">
        <f>IF(C157="En curso",
IF(Incidencias!#REF!="Sí","Bloqueante",
IF(Incidencias!#REF!="No","No bloqueante","NA")),"NA")</f>
        <v>#REF!</v>
      </c>
      <c r="E157" s="8" t="e">
        <f>IF(C157="En curso",
IF(Incidencias!#REF!="Usuario","Usuario",
IF(Incidencias!#REF!="Proceso","Proceso","NA")),"NA")</f>
        <v>#REF!</v>
      </c>
    </row>
    <row r="158" spans="1:5" x14ac:dyDescent="0.25">
      <c r="A158" s="19">
        <f>Incidencias!B223</f>
        <v>0</v>
      </c>
      <c r="B158" s="16" t="e">
        <f>IF(Incidencias!#REF!="Mejora","Mejora","Incidencia")</f>
        <v>#REF!</v>
      </c>
      <c r="C158" s="8" t="e">
        <f>IF(Incidencias!#REF!="Mejora","NA",IF(OR(Incidencias!#REF!="Abierta",Incidencias!#REF!="En proceso",Incidencias!#REF!="Info cliente")=TRUE,"En curso",IF(Incidencias!#REF!="Descartada","Descartada","Entregada")))</f>
        <v>#REF!</v>
      </c>
      <c r="D158" s="8" t="e">
        <f>IF(C158="En curso",
IF(Incidencias!#REF!="Sí","Bloqueante",
IF(Incidencias!#REF!="No","No bloqueante","NA")),"NA")</f>
        <v>#REF!</v>
      </c>
      <c r="E158" s="8" t="e">
        <f>IF(C158="En curso",
IF(Incidencias!#REF!="Usuario","Usuario",
IF(Incidencias!#REF!="Proceso","Proceso","NA")),"NA")</f>
        <v>#REF!</v>
      </c>
    </row>
    <row r="159" spans="1:5" x14ac:dyDescent="0.25">
      <c r="A159" s="19">
        <f>Incidencias!B224</f>
        <v>0</v>
      </c>
      <c r="B159" s="16" t="e">
        <f>IF(Incidencias!#REF!="Mejora","Mejora","Incidencia")</f>
        <v>#REF!</v>
      </c>
      <c r="C159" s="8" t="e">
        <f>IF(Incidencias!#REF!="Mejora","NA",IF(OR(Incidencias!#REF!="Abierta",Incidencias!#REF!="En proceso",Incidencias!#REF!="Info cliente")=TRUE,"En curso",IF(Incidencias!#REF!="Descartada","Descartada","Entregada")))</f>
        <v>#REF!</v>
      </c>
      <c r="D159" s="8" t="e">
        <f>IF(C159="En curso",
IF(Incidencias!#REF!="Sí","Bloqueante",
IF(Incidencias!#REF!="No","No bloqueante","NA")),"NA")</f>
        <v>#REF!</v>
      </c>
      <c r="E159" s="8" t="e">
        <f>IF(C159="En curso",
IF(Incidencias!#REF!="Usuario","Usuario",
IF(Incidencias!#REF!="Proceso","Proceso","NA")),"NA")</f>
        <v>#REF!</v>
      </c>
    </row>
    <row r="160" spans="1:5" x14ac:dyDescent="0.25">
      <c r="A160" s="19">
        <f>Incidencias!B225</f>
        <v>0</v>
      </c>
      <c r="B160" s="16" t="e">
        <f>IF(Incidencias!#REF!="Mejora","Mejora","Incidencia")</f>
        <v>#REF!</v>
      </c>
      <c r="C160" s="8" t="e">
        <f>IF(Incidencias!#REF!="Mejora","NA",IF(OR(Incidencias!#REF!="Abierta",Incidencias!#REF!="En proceso",Incidencias!#REF!="Info cliente")=TRUE,"En curso",IF(Incidencias!#REF!="Descartada","Descartada","Entregada")))</f>
        <v>#REF!</v>
      </c>
      <c r="D160" s="8" t="e">
        <f>IF(C160="En curso",
IF(Incidencias!#REF!="Sí","Bloqueante",
IF(Incidencias!#REF!="No","No bloqueante","NA")),"NA")</f>
        <v>#REF!</v>
      </c>
      <c r="E160" s="8" t="e">
        <f>IF(C160="En curso",
IF(Incidencias!#REF!="Usuario","Usuario",
IF(Incidencias!#REF!="Proceso","Proceso","NA")),"NA")</f>
        <v>#REF!</v>
      </c>
    </row>
    <row r="161" spans="1:5" x14ac:dyDescent="0.25">
      <c r="A161" s="19">
        <f>Incidencias!B226</f>
        <v>0</v>
      </c>
      <c r="B161" s="16" t="e">
        <f>IF(Incidencias!#REF!="Mejora","Mejora","Incidencia")</f>
        <v>#REF!</v>
      </c>
      <c r="C161" s="8" t="e">
        <f>IF(Incidencias!#REF!="Mejora","NA",IF(OR(Incidencias!#REF!="Abierta",Incidencias!#REF!="En proceso",Incidencias!#REF!="Info cliente")=TRUE,"En curso",IF(Incidencias!#REF!="Descartada","Descartada","Entregada")))</f>
        <v>#REF!</v>
      </c>
      <c r="D161" s="8" t="e">
        <f>IF(C161="En curso",
IF(Incidencias!#REF!="Sí","Bloqueante",
IF(Incidencias!#REF!="No","No bloqueante","NA")),"NA")</f>
        <v>#REF!</v>
      </c>
      <c r="E161" s="8" t="e">
        <f>IF(C161="En curso",
IF(Incidencias!#REF!="Usuario","Usuario",
IF(Incidencias!#REF!="Proceso","Proceso","NA")),"NA")</f>
        <v>#REF!</v>
      </c>
    </row>
    <row r="162" spans="1:5" x14ac:dyDescent="0.25">
      <c r="A162" s="19">
        <f>Incidencias!B227</f>
        <v>0</v>
      </c>
      <c r="B162" s="16" t="e">
        <f>IF(Incidencias!#REF!="Mejora","Mejora","Incidencia")</f>
        <v>#REF!</v>
      </c>
      <c r="C162" s="8" t="e">
        <f>IF(Incidencias!#REF!="Mejora","NA",IF(OR(Incidencias!#REF!="Abierta",Incidencias!#REF!="En proceso",Incidencias!#REF!="Info cliente")=TRUE,"En curso",IF(Incidencias!#REF!="Descartada","Descartada","Entregada")))</f>
        <v>#REF!</v>
      </c>
      <c r="D162" s="8" t="e">
        <f>IF(C162="En curso",
IF(Incidencias!#REF!="Sí","Bloqueante",
IF(Incidencias!#REF!="No","No bloqueante","NA")),"NA")</f>
        <v>#REF!</v>
      </c>
      <c r="E162" s="8" t="e">
        <f>IF(C162="En curso",
IF(Incidencias!#REF!="Usuario","Usuario",
IF(Incidencias!#REF!="Proceso","Proceso","NA")),"NA")</f>
        <v>#REF!</v>
      </c>
    </row>
    <row r="163" spans="1:5" x14ac:dyDescent="0.25">
      <c r="A163" s="19">
        <f>Incidencias!B228</f>
        <v>0</v>
      </c>
      <c r="B163" s="16" t="e">
        <f>IF(Incidencias!#REF!="Mejora","Mejora","Incidencia")</f>
        <v>#REF!</v>
      </c>
      <c r="C163" s="8" t="e">
        <f>IF(Incidencias!#REF!="Mejora","NA",IF(OR(Incidencias!#REF!="Abierta",Incidencias!#REF!="En proceso",Incidencias!#REF!="Info cliente")=TRUE,"En curso",IF(Incidencias!#REF!="Descartada","Descartada","Entregada")))</f>
        <v>#REF!</v>
      </c>
      <c r="D163" s="8" t="e">
        <f>IF(C163="En curso",
IF(Incidencias!#REF!="Sí","Bloqueante",
IF(Incidencias!#REF!="No","No bloqueante","NA")),"NA")</f>
        <v>#REF!</v>
      </c>
      <c r="E163" s="8" t="e">
        <f>IF(C163="En curso",
IF(Incidencias!#REF!="Usuario","Usuario",
IF(Incidencias!#REF!="Proceso","Proceso","NA")),"NA")</f>
        <v>#REF!</v>
      </c>
    </row>
    <row r="164" spans="1:5" x14ac:dyDescent="0.25">
      <c r="A164" s="19">
        <f>Incidencias!B229</f>
        <v>0</v>
      </c>
      <c r="B164" s="16" t="e">
        <f>IF(Incidencias!#REF!="Mejora","Mejora","Incidencia")</f>
        <v>#REF!</v>
      </c>
      <c r="C164" s="8" t="e">
        <f>IF(Incidencias!#REF!="Mejora","NA",IF(OR(Incidencias!#REF!="Abierta",Incidencias!#REF!="En proceso",Incidencias!#REF!="Info cliente")=TRUE,"En curso",IF(Incidencias!#REF!="Descartada","Descartada","Entregada")))</f>
        <v>#REF!</v>
      </c>
      <c r="D164" s="8" t="e">
        <f>IF(C164="En curso",
IF(Incidencias!#REF!="Sí","Bloqueante",
IF(Incidencias!#REF!="No","No bloqueante","NA")),"NA")</f>
        <v>#REF!</v>
      </c>
      <c r="E164" s="8" t="e">
        <f>IF(C164="En curso",
IF(Incidencias!#REF!="Usuario","Usuario",
IF(Incidencias!#REF!="Proceso","Proceso","NA")),"NA")</f>
        <v>#REF!</v>
      </c>
    </row>
    <row r="165" spans="1:5" x14ac:dyDescent="0.25">
      <c r="A165" s="19">
        <f>Incidencias!B230</f>
        <v>0</v>
      </c>
      <c r="B165" s="16" t="e">
        <f>IF(Incidencias!#REF!="Mejora","Mejora","Incidencia")</f>
        <v>#REF!</v>
      </c>
      <c r="C165" s="8" t="e">
        <f>IF(Incidencias!#REF!="Mejora","NA",IF(OR(Incidencias!#REF!="Abierta",Incidencias!#REF!="En proceso",Incidencias!#REF!="Info cliente")=TRUE,"En curso",IF(Incidencias!#REF!="Descartada","Descartada","Entregada")))</f>
        <v>#REF!</v>
      </c>
      <c r="D165" s="8" t="e">
        <f>IF(C165="En curso",
IF(Incidencias!#REF!="Sí","Bloqueante",
IF(Incidencias!#REF!="No","No bloqueante","NA")),"NA")</f>
        <v>#REF!</v>
      </c>
      <c r="E165" s="8" t="e">
        <f>IF(C165="En curso",
IF(Incidencias!#REF!="Usuario","Usuario",
IF(Incidencias!#REF!="Proceso","Proceso","NA")),"NA")</f>
        <v>#REF!</v>
      </c>
    </row>
    <row r="166" spans="1:5" x14ac:dyDescent="0.25">
      <c r="A166" s="19">
        <f>Incidencias!B231</f>
        <v>0</v>
      </c>
      <c r="B166" s="16" t="e">
        <f>IF(Incidencias!#REF!="Mejora","Mejora","Incidencia")</f>
        <v>#REF!</v>
      </c>
      <c r="C166" s="8" t="e">
        <f>IF(Incidencias!#REF!="Mejora","NA",IF(OR(Incidencias!#REF!="Abierta",Incidencias!#REF!="En proceso",Incidencias!#REF!="Info cliente")=TRUE,"En curso",IF(Incidencias!#REF!="Descartada","Descartada","Entregada")))</f>
        <v>#REF!</v>
      </c>
      <c r="D166" s="8" t="e">
        <f>IF(C166="En curso",
IF(Incidencias!#REF!="Sí","Bloqueante",
IF(Incidencias!#REF!="No","No bloqueante","NA")),"NA")</f>
        <v>#REF!</v>
      </c>
      <c r="E166" s="8" t="e">
        <f>IF(C166="En curso",
IF(Incidencias!#REF!="Usuario","Usuario",
IF(Incidencias!#REF!="Proceso","Proceso","NA")),"NA")</f>
        <v>#REF!</v>
      </c>
    </row>
    <row r="167" spans="1:5" x14ac:dyDescent="0.25">
      <c r="A167" s="19">
        <f>Incidencias!B232</f>
        <v>0</v>
      </c>
      <c r="B167" s="16" t="e">
        <f>IF(Incidencias!#REF!="Mejora","Mejora","Incidencia")</f>
        <v>#REF!</v>
      </c>
      <c r="C167" s="8" t="e">
        <f>IF(Incidencias!#REF!="Mejora","NA",IF(OR(Incidencias!#REF!="Abierta",Incidencias!#REF!="En proceso",Incidencias!#REF!="Info cliente")=TRUE,"En curso",IF(Incidencias!#REF!="Descartada","Descartada","Entregada")))</f>
        <v>#REF!</v>
      </c>
      <c r="D167" s="8" t="e">
        <f>IF(C167="En curso",
IF(Incidencias!#REF!="Sí","Bloqueante",
IF(Incidencias!#REF!="No","No bloqueante","NA")),"NA")</f>
        <v>#REF!</v>
      </c>
      <c r="E167" s="8" t="e">
        <f>IF(C167="En curso",
IF(Incidencias!#REF!="Usuario","Usuario",
IF(Incidencias!#REF!="Proceso","Proceso","NA")),"NA")</f>
        <v>#REF!</v>
      </c>
    </row>
    <row r="168" spans="1:5" x14ac:dyDescent="0.25">
      <c r="A168" s="19">
        <f>Incidencias!B233</f>
        <v>0</v>
      </c>
      <c r="B168" s="16" t="e">
        <f>IF(Incidencias!#REF!="Mejora","Mejora","Incidencia")</f>
        <v>#REF!</v>
      </c>
      <c r="C168" s="8" t="e">
        <f>IF(Incidencias!#REF!="Mejora","NA",IF(OR(Incidencias!#REF!="Abierta",Incidencias!#REF!="En proceso",Incidencias!#REF!="Info cliente")=TRUE,"En curso",IF(Incidencias!#REF!="Descartada","Descartada","Entregada")))</f>
        <v>#REF!</v>
      </c>
      <c r="D168" s="8" t="e">
        <f>IF(C168="En curso",
IF(Incidencias!#REF!="Sí","Bloqueante",
IF(Incidencias!#REF!="No","No bloqueante","NA")),"NA")</f>
        <v>#REF!</v>
      </c>
      <c r="E168" s="8" t="e">
        <f>IF(C168="En curso",
IF(Incidencias!#REF!="Usuario","Usuario",
IF(Incidencias!#REF!="Proceso","Proceso","NA")),"NA")</f>
        <v>#REF!</v>
      </c>
    </row>
    <row r="169" spans="1:5" x14ac:dyDescent="0.25">
      <c r="A169" s="19">
        <f>Incidencias!B234</f>
        <v>0</v>
      </c>
      <c r="B169" s="16" t="e">
        <f>IF(Incidencias!#REF!="Mejora","Mejora","Incidencia")</f>
        <v>#REF!</v>
      </c>
      <c r="C169" s="8" t="e">
        <f>IF(Incidencias!#REF!="Mejora","NA",IF(OR(Incidencias!#REF!="Abierta",Incidencias!#REF!="En proceso",Incidencias!#REF!="Info cliente")=TRUE,"En curso",IF(Incidencias!#REF!="Descartada","Descartada","Entregada")))</f>
        <v>#REF!</v>
      </c>
      <c r="D169" s="8" t="e">
        <f>IF(C169="En curso",
IF(Incidencias!#REF!="Sí","Bloqueante",
IF(Incidencias!#REF!="No","No bloqueante","NA")),"NA")</f>
        <v>#REF!</v>
      </c>
      <c r="E169" s="8" t="e">
        <f>IF(C169="En curso",
IF(Incidencias!#REF!="Usuario","Usuario",
IF(Incidencias!#REF!="Proceso","Proceso","NA")),"NA")</f>
        <v>#REF!</v>
      </c>
    </row>
    <row r="170" spans="1:5" x14ac:dyDescent="0.25">
      <c r="A170" s="19">
        <f>Incidencias!B235</f>
        <v>0</v>
      </c>
      <c r="B170" s="16" t="e">
        <f>IF(Incidencias!#REF!="Mejora","Mejora","Incidencia")</f>
        <v>#REF!</v>
      </c>
      <c r="C170" s="8" t="e">
        <f>IF(Incidencias!#REF!="Mejora","NA",IF(OR(Incidencias!#REF!="Abierta",Incidencias!#REF!="En proceso",Incidencias!#REF!="Info cliente")=TRUE,"En curso",IF(Incidencias!#REF!="Descartada","Descartada","Entregada")))</f>
        <v>#REF!</v>
      </c>
      <c r="D170" s="8" t="e">
        <f>IF(C170="En curso",
IF(Incidencias!#REF!="Sí","Bloqueante",
IF(Incidencias!#REF!="No","No bloqueante","NA")),"NA")</f>
        <v>#REF!</v>
      </c>
      <c r="E170" s="8" t="e">
        <f>IF(C170="En curso",
IF(Incidencias!#REF!="Usuario","Usuario",
IF(Incidencias!#REF!="Proceso","Proceso","NA")),"NA")</f>
        <v>#REF!</v>
      </c>
    </row>
    <row r="171" spans="1:5" x14ac:dyDescent="0.25">
      <c r="A171" s="19">
        <f>Incidencias!B236</f>
        <v>0</v>
      </c>
      <c r="B171" s="16" t="e">
        <f>IF(Incidencias!#REF!="Mejora","Mejora","Incidencia")</f>
        <v>#REF!</v>
      </c>
      <c r="C171" s="8" t="e">
        <f>IF(Incidencias!#REF!="Mejora","NA",IF(OR(Incidencias!#REF!="Abierta",Incidencias!#REF!="En proceso",Incidencias!#REF!="Info cliente")=TRUE,"En curso",IF(Incidencias!#REF!="Descartada","Descartada","Entregada")))</f>
        <v>#REF!</v>
      </c>
      <c r="D171" s="8" t="e">
        <f>IF(C171="En curso",
IF(Incidencias!#REF!="Sí","Bloqueante",
IF(Incidencias!#REF!="No","No bloqueante","NA")),"NA")</f>
        <v>#REF!</v>
      </c>
      <c r="E171" s="8" t="e">
        <f>IF(C171="En curso",
IF(Incidencias!#REF!="Usuario","Usuario",
IF(Incidencias!#REF!="Proceso","Proceso","NA")),"NA")</f>
        <v>#REF!</v>
      </c>
    </row>
    <row r="172" spans="1:5" x14ac:dyDescent="0.25">
      <c r="A172" s="19">
        <f>Incidencias!B237</f>
        <v>0</v>
      </c>
      <c r="B172" s="16" t="e">
        <f>IF(Incidencias!#REF!="Mejora","Mejora","Incidencia")</f>
        <v>#REF!</v>
      </c>
      <c r="C172" s="8" t="e">
        <f>IF(Incidencias!#REF!="Mejora","NA",IF(OR(Incidencias!#REF!="Abierta",Incidencias!#REF!="En proceso",Incidencias!#REF!="Info cliente")=TRUE,"En curso",IF(Incidencias!#REF!="Descartada","Descartada","Entregada")))</f>
        <v>#REF!</v>
      </c>
      <c r="D172" s="8" t="e">
        <f>IF(C172="En curso",
IF(Incidencias!#REF!="Sí","Bloqueante",
IF(Incidencias!#REF!="No","No bloqueante","NA")),"NA")</f>
        <v>#REF!</v>
      </c>
      <c r="E172" s="8" t="e">
        <f>IF(C172="En curso",
IF(Incidencias!#REF!="Usuario","Usuario",
IF(Incidencias!#REF!="Proceso","Proceso","NA")),"NA")</f>
        <v>#REF!</v>
      </c>
    </row>
    <row r="173" spans="1:5" x14ac:dyDescent="0.25">
      <c r="A173" s="19">
        <f>Incidencias!B238</f>
        <v>0</v>
      </c>
      <c r="B173" s="16" t="e">
        <f>IF(Incidencias!#REF!="Mejora","Mejora","Incidencia")</f>
        <v>#REF!</v>
      </c>
      <c r="C173" s="8" t="e">
        <f>IF(Incidencias!#REF!="Mejora","NA",IF(OR(Incidencias!#REF!="Abierta",Incidencias!#REF!="En proceso",Incidencias!#REF!="Info cliente")=TRUE,"En curso",IF(Incidencias!#REF!="Descartada","Descartada","Entregada")))</f>
        <v>#REF!</v>
      </c>
      <c r="D173" s="8" t="e">
        <f>IF(C173="En curso",
IF(Incidencias!#REF!="Sí","Bloqueante",
IF(Incidencias!#REF!="No","No bloqueante","NA")),"NA")</f>
        <v>#REF!</v>
      </c>
      <c r="E173" s="8" t="e">
        <f>IF(C173="En curso",
IF(Incidencias!#REF!="Usuario","Usuario",
IF(Incidencias!#REF!="Proceso","Proceso","NA")),"NA")</f>
        <v>#REF!</v>
      </c>
    </row>
    <row r="174" spans="1:5" x14ac:dyDescent="0.25">
      <c r="A174" s="19">
        <f>Incidencias!B239</f>
        <v>0</v>
      </c>
      <c r="B174" s="16" t="e">
        <f>IF(Incidencias!#REF!="Mejora","Mejora","Incidencia")</f>
        <v>#REF!</v>
      </c>
      <c r="C174" s="8" t="e">
        <f>IF(Incidencias!#REF!="Mejora","NA",IF(OR(Incidencias!#REF!="Abierta",Incidencias!#REF!="En proceso",Incidencias!#REF!="Info cliente")=TRUE,"En curso",IF(Incidencias!#REF!="Descartada","Descartada","Entregada")))</f>
        <v>#REF!</v>
      </c>
      <c r="D174" s="8" t="e">
        <f>IF(C174="En curso",
IF(Incidencias!#REF!="Sí","Bloqueante",
IF(Incidencias!#REF!="No","No bloqueante","NA")),"NA")</f>
        <v>#REF!</v>
      </c>
      <c r="E174" s="8" t="e">
        <f>IF(C174="En curso",
IF(Incidencias!#REF!="Usuario","Usuario",
IF(Incidencias!#REF!="Proceso","Proceso","NA")),"NA")</f>
        <v>#REF!</v>
      </c>
    </row>
    <row r="175" spans="1:5" x14ac:dyDescent="0.25">
      <c r="A175" s="19">
        <f>Incidencias!B240</f>
        <v>0</v>
      </c>
      <c r="B175" s="16" t="e">
        <f>IF(Incidencias!#REF!="Mejora","Mejora","Incidencia")</f>
        <v>#REF!</v>
      </c>
      <c r="C175" s="8" t="e">
        <f>IF(Incidencias!#REF!="Mejora","NA",IF(OR(Incidencias!#REF!="Abierta",Incidencias!#REF!="En proceso",Incidencias!#REF!="Info cliente")=TRUE,"En curso",IF(Incidencias!#REF!="Descartada","Descartada","Entregada")))</f>
        <v>#REF!</v>
      </c>
      <c r="D175" s="8" t="e">
        <f>IF(C175="En curso",
IF(Incidencias!#REF!="Sí","Bloqueante",
IF(Incidencias!#REF!="No","No bloqueante","NA")),"NA")</f>
        <v>#REF!</v>
      </c>
      <c r="E175" s="8" t="e">
        <f>IF(C175="En curso",
IF(Incidencias!#REF!="Usuario","Usuario",
IF(Incidencias!#REF!="Proceso","Proceso","NA")),"NA")</f>
        <v>#REF!</v>
      </c>
    </row>
    <row r="176" spans="1:5" x14ac:dyDescent="0.25">
      <c r="A176" s="19">
        <f>Incidencias!B241</f>
        <v>0</v>
      </c>
      <c r="B176" s="16" t="e">
        <f>IF(Incidencias!#REF!="Mejora","Mejora","Incidencia")</f>
        <v>#REF!</v>
      </c>
      <c r="C176" s="8" t="e">
        <f>IF(Incidencias!#REF!="Mejora","NA",IF(OR(Incidencias!#REF!="Abierta",Incidencias!#REF!="En proceso",Incidencias!#REF!="Info cliente")=TRUE,"En curso",IF(Incidencias!#REF!="Descartada","Descartada","Entregada")))</f>
        <v>#REF!</v>
      </c>
      <c r="D176" s="8" t="e">
        <f>IF(C176="En curso",
IF(Incidencias!#REF!="Sí","Bloqueante",
IF(Incidencias!#REF!="No","No bloqueante","NA")),"NA")</f>
        <v>#REF!</v>
      </c>
      <c r="E176" s="8" t="e">
        <f>IF(C176="En curso",
IF(Incidencias!#REF!="Usuario","Usuario",
IF(Incidencias!#REF!="Proceso","Proceso","NA")),"NA")</f>
        <v>#REF!</v>
      </c>
    </row>
    <row r="177" spans="1:5" x14ac:dyDescent="0.25">
      <c r="A177" s="19">
        <f>Incidencias!B242</f>
        <v>0</v>
      </c>
      <c r="B177" s="16" t="e">
        <f>IF(Incidencias!#REF!="Mejora","Mejora","Incidencia")</f>
        <v>#REF!</v>
      </c>
      <c r="C177" s="8" t="e">
        <f>IF(Incidencias!#REF!="Mejora","NA",IF(OR(Incidencias!#REF!="Abierta",Incidencias!#REF!="En proceso",Incidencias!#REF!="Info cliente")=TRUE,"En curso",IF(Incidencias!#REF!="Descartada","Descartada","Entregada")))</f>
        <v>#REF!</v>
      </c>
      <c r="D177" s="8" t="e">
        <f>IF(C177="En curso",
IF(Incidencias!#REF!="Sí","Bloqueante",
IF(Incidencias!#REF!="No","No bloqueante","NA")),"NA")</f>
        <v>#REF!</v>
      </c>
      <c r="E177" s="8" t="e">
        <f>IF(C177="En curso",
IF(Incidencias!#REF!="Usuario","Usuario",
IF(Incidencias!#REF!="Proceso","Proceso","NA")),"NA")</f>
        <v>#REF!</v>
      </c>
    </row>
    <row r="178" spans="1:5" x14ac:dyDescent="0.25">
      <c r="A178" s="19">
        <f>Incidencias!B243</f>
        <v>0</v>
      </c>
      <c r="B178" s="16" t="e">
        <f>IF(Incidencias!#REF!="Mejora","Mejora","Incidencia")</f>
        <v>#REF!</v>
      </c>
      <c r="C178" s="8" t="e">
        <f>IF(Incidencias!#REF!="Mejora","NA",IF(OR(Incidencias!#REF!="Abierta",Incidencias!#REF!="En proceso",Incidencias!#REF!="Info cliente")=TRUE,"En curso",IF(Incidencias!#REF!="Descartada","Descartada","Entregada")))</f>
        <v>#REF!</v>
      </c>
      <c r="D178" s="8" t="e">
        <f>IF(C178="En curso",
IF(Incidencias!#REF!="Sí","Bloqueante",
IF(Incidencias!#REF!="No","No bloqueante","NA")),"NA")</f>
        <v>#REF!</v>
      </c>
      <c r="E178" s="8" t="e">
        <f>IF(C178="En curso",
IF(Incidencias!#REF!="Usuario","Usuario",
IF(Incidencias!#REF!="Proceso","Proceso","NA")),"NA")</f>
        <v>#REF!</v>
      </c>
    </row>
    <row r="179" spans="1:5" x14ac:dyDescent="0.25">
      <c r="A179" s="19">
        <f>Incidencias!B244</f>
        <v>0</v>
      </c>
      <c r="B179" s="16" t="e">
        <f>IF(Incidencias!#REF!="Mejora","Mejora","Incidencia")</f>
        <v>#REF!</v>
      </c>
      <c r="C179" s="8" t="e">
        <f>IF(Incidencias!#REF!="Mejora","NA",IF(OR(Incidencias!#REF!="Abierta",Incidencias!#REF!="En proceso",Incidencias!#REF!="Info cliente")=TRUE,"En curso",IF(Incidencias!#REF!="Descartada","Descartada","Entregada")))</f>
        <v>#REF!</v>
      </c>
      <c r="D179" s="8" t="e">
        <f>IF(C179="En curso",
IF(Incidencias!#REF!="Sí","Bloqueante",
IF(Incidencias!#REF!="No","No bloqueante","NA")),"NA")</f>
        <v>#REF!</v>
      </c>
      <c r="E179" s="8" t="e">
        <f>IF(C179="En curso",
IF(Incidencias!#REF!="Usuario","Usuario",
IF(Incidencias!#REF!="Proceso","Proceso","NA")),"NA")</f>
        <v>#REF!</v>
      </c>
    </row>
    <row r="180" spans="1:5" x14ac:dyDescent="0.25">
      <c r="A180" s="19">
        <f>Incidencias!B245</f>
        <v>0</v>
      </c>
      <c r="B180" s="16" t="e">
        <f>IF(Incidencias!#REF!="Mejora","Mejora","Incidencia")</f>
        <v>#REF!</v>
      </c>
      <c r="C180" s="8" t="e">
        <f>IF(Incidencias!#REF!="Mejora","NA",IF(OR(Incidencias!#REF!="Abierta",Incidencias!#REF!="En proceso",Incidencias!#REF!="Info cliente")=TRUE,"En curso",IF(Incidencias!#REF!="Descartada","Descartada","Entregada")))</f>
        <v>#REF!</v>
      </c>
      <c r="D180" s="8" t="e">
        <f>IF(C180="En curso",
IF(Incidencias!#REF!="Sí","Bloqueante",
IF(Incidencias!#REF!="No","No bloqueante","NA")),"NA")</f>
        <v>#REF!</v>
      </c>
      <c r="E180" s="8" t="e">
        <f>IF(C180="En curso",
IF(Incidencias!#REF!="Usuario","Usuario",
IF(Incidencias!#REF!="Proceso","Proceso","NA")),"NA")</f>
        <v>#REF!</v>
      </c>
    </row>
    <row r="181" spans="1:5" x14ac:dyDescent="0.25">
      <c r="A181" s="19">
        <f>Incidencias!B246</f>
        <v>0</v>
      </c>
      <c r="B181" s="16" t="e">
        <f>IF(Incidencias!#REF!="Mejora","Mejora","Incidencia")</f>
        <v>#REF!</v>
      </c>
      <c r="C181" s="8" t="e">
        <f>IF(Incidencias!#REF!="Mejora","NA",IF(OR(Incidencias!#REF!="Abierta",Incidencias!#REF!="En proceso",Incidencias!#REF!="Info cliente")=TRUE,"En curso",IF(Incidencias!#REF!="Descartada","Descartada","Entregada")))</f>
        <v>#REF!</v>
      </c>
      <c r="D181" s="8" t="e">
        <f>IF(C181="En curso",
IF(Incidencias!#REF!="Sí","Bloqueante",
IF(Incidencias!#REF!="No","No bloqueante","NA")),"NA")</f>
        <v>#REF!</v>
      </c>
      <c r="E181" s="8" t="e">
        <f>IF(C181="En curso",
IF(Incidencias!#REF!="Usuario","Usuario",
IF(Incidencias!#REF!="Proceso","Proceso","NA")),"NA")</f>
        <v>#REF!</v>
      </c>
    </row>
    <row r="182" spans="1:5" x14ac:dyDescent="0.25">
      <c r="A182" s="19">
        <f>Incidencias!B247</f>
        <v>0</v>
      </c>
      <c r="B182" s="16" t="e">
        <f>IF(Incidencias!#REF!="Mejora","Mejora","Incidencia")</f>
        <v>#REF!</v>
      </c>
      <c r="C182" s="8" t="e">
        <f>IF(Incidencias!#REF!="Mejora","NA",IF(OR(Incidencias!#REF!="Abierta",Incidencias!#REF!="En proceso",Incidencias!#REF!="Info cliente")=TRUE,"En curso",IF(Incidencias!#REF!="Descartada","Descartada","Entregada")))</f>
        <v>#REF!</v>
      </c>
      <c r="D182" s="8" t="e">
        <f>IF(C182="En curso",
IF(Incidencias!#REF!="Sí","Bloqueante",
IF(Incidencias!#REF!="No","No bloqueante","NA")),"NA")</f>
        <v>#REF!</v>
      </c>
      <c r="E182" s="8" t="e">
        <f>IF(C182="En curso",
IF(Incidencias!#REF!="Usuario","Usuario",
IF(Incidencias!#REF!="Proceso","Proceso","NA")),"NA")</f>
        <v>#REF!</v>
      </c>
    </row>
    <row r="183" spans="1:5" x14ac:dyDescent="0.25">
      <c r="A183" s="19">
        <f>Incidencias!B248</f>
        <v>0</v>
      </c>
      <c r="B183" s="16" t="e">
        <f>IF(Incidencias!#REF!="Mejora","Mejora","Incidencia")</f>
        <v>#REF!</v>
      </c>
      <c r="C183" s="8" t="e">
        <f>IF(Incidencias!#REF!="Mejora","NA",IF(OR(Incidencias!#REF!="Abierta",Incidencias!#REF!="En proceso",Incidencias!#REF!="Info cliente")=TRUE,"En curso",IF(Incidencias!#REF!="Descartada","Descartada","Entregada")))</f>
        <v>#REF!</v>
      </c>
      <c r="D183" s="8" t="e">
        <f>IF(C183="En curso",
IF(Incidencias!#REF!="Sí","Bloqueante",
IF(Incidencias!#REF!="No","No bloqueante","NA")),"NA")</f>
        <v>#REF!</v>
      </c>
      <c r="E183" s="8" t="e">
        <f>IF(C183="En curso",
IF(Incidencias!#REF!="Usuario","Usuario",
IF(Incidencias!#REF!="Proceso","Proceso","NA")),"NA")</f>
        <v>#REF!</v>
      </c>
    </row>
    <row r="184" spans="1:5" x14ac:dyDescent="0.25">
      <c r="A184" s="19">
        <f>Incidencias!B249</f>
        <v>0</v>
      </c>
      <c r="B184" s="16" t="e">
        <f>IF(Incidencias!#REF!="Mejora","Mejora","Incidencia")</f>
        <v>#REF!</v>
      </c>
      <c r="C184" s="8" t="e">
        <f>IF(Incidencias!#REF!="Mejora","NA",IF(OR(Incidencias!#REF!="Abierta",Incidencias!#REF!="En proceso",Incidencias!#REF!="Info cliente")=TRUE,"En curso",IF(Incidencias!#REF!="Descartada","Descartada","Entregada")))</f>
        <v>#REF!</v>
      </c>
      <c r="D184" s="8" t="e">
        <f>IF(C184="En curso",
IF(Incidencias!#REF!="Sí","Bloqueante",
IF(Incidencias!#REF!="No","No bloqueante","NA")),"NA")</f>
        <v>#REF!</v>
      </c>
      <c r="E184" s="8" t="e">
        <f>IF(C184="En curso",
IF(Incidencias!#REF!="Usuario","Usuario",
IF(Incidencias!#REF!="Proceso","Proceso","NA")),"NA")</f>
        <v>#REF!</v>
      </c>
    </row>
    <row r="185" spans="1:5" x14ac:dyDescent="0.25">
      <c r="A185" s="19">
        <f>Incidencias!B250</f>
        <v>0</v>
      </c>
      <c r="B185" s="16" t="e">
        <f>IF(Incidencias!#REF!="Mejora","Mejora","Incidencia")</f>
        <v>#REF!</v>
      </c>
      <c r="C185" s="8" t="e">
        <f>IF(Incidencias!#REF!="Mejora","NA",IF(OR(Incidencias!#REF!="Abierta",Incidencias!#REF!="En proceso",Incidencias!#REF!="Info cliente")=TRUE,"En curso",IF(Incidencias!#REF!="Descartada","Descartada","Entregada")))</f>
        <v>#REF!</v>
      </c>
      <c r="D185" s="8" t="e">
        <f>IF(C185="En curso",
IF(Incidencias!#REF!="Sí","Bloqueante",
IF(Incidencias!#REF!="No","No bloqueante","NA")),"NA")</f>
        <v>#REF!</v>
      </c>
      <c r="E185" s="8" t="e">
        <f>IF(C185="En curso",
IF(Incidencias!#REF!="Usuario","Usuario",
IF(Incidencias!#REF!="Proceso","Proceso","NA")),"NA")</f>
        <v>#REF!</v>
      </c>
    </row>
    <row r="186" spans="1:5" x14ac:dyDescent="0.25">
      <c r="A186" s="19">
        <f>Incidencias!B251</f>
        <v>0</v>
      </c>
      <c r="B186" s="16" t="e">
        <f>IF(Incidencias!#REF!="Mejora","Mejora","Incidencia")</f>
        <v>#REF!</v>
      </c>
      <c r="C186" s="8" t="e">
        <f>IF(Incidencias!#REF!="Mejora","NA",IF(OR(Incidencias!#REF!="Abierta",Incidencias!#REF!="En proceso",Incidencias!#REF!="Info cliente")=TRUE,"En curso",IF(Incidencias!#REF!="Descartada","Descartada","Entregada")))</f>
        <v>#REF!</v>
      </c>
      <c r="D186" s="8" t="e">
        <f>IF(C186="En curso",
IF(Incidencias!#REF!="Sí","Bloqueante",
IF(Incidencias!#REF!="No","No bloqueante","NA")),"NA")</f>
        <v>#REF!</v>
      </c>
      <c r="E186" s="8" t="e">
        <f>IF(C186="En curso",
IF(Incidencias!#REF!="Usuario","Usuario",
IF(Incidencias!#REF!="Proceso","Proceso","NA")),"NA")</f>
        <v>#REF!</v>
      </c>
    </row>
    <row r="187" spans="1:5" x14ac:dyDescent="0.25">
      <c r="A187" s="19">
        <f>Incidencias!B252</f>
        <v>0</v>
      </c>
      <c r="B187" s="16" t="e">
        <f>IF(Incidencias!#REF!="Mejora","Mejora","Incidencia")</f>
        <v>#REF!</v>
      </c>
      <c r="C187" s="8" t="e">
        <f>IF(Incidencias!#REF!="Mejora","NA",IF(OR(Incidencias!#REF!="Abierta",Incidencias!#REF!="En proceso",Incidencias!#REF!="Info cliente")=TRUE,"En curso",IF(Incidencias!#REF!="Descartada","Descartada","Entregada")))</f>
        <v>#REF!</v>
      </c>
      <c r="D187" s="8" t="e">
        <f>IF(C187="En curso",
IF(Incidencias!#REF!="Sí","Bloqueante",
IF(Incidencias!#REF!="No","No bloqueante","NA")),"NA")</f>
        <v>#REF!</v>
      </c>
      <c r="E187" s="8" t="e">
        <f>IF(C187="En curso",
IF(Incidencias!#REF!="Usuario","Usuario",
IF(Incidencias!#REF!="Proceso","Proceso","NA")),"NA")</f>
        <v>#REF!</v>
      </c>
    </row>
    <row r="188" spans="1:5" x14ac:dyDescent="0.25">
      <c r="A188" s="19">
        <f>Incidencias!B253</f>
        <v>0</v>
      </c>
      <c r="B188" s="16" t="e">
        <f>IF(Incidencias!#REF!="Mejora","Mejora","Incidencia")</f>
        <v>#REF!</v>
      </c>
      <c r="C188" s="8" t="e">
        <f>IF(Incidencias!#REF!="Mejora","NA",IF(OR(Incidencias!#REF!="Abierta",Incidencias!#REF!="En proceso",Incidencias!#REF!="Info cliente")=TRUE,"En curso",IF(Incidencias!#REF!="Descartada","Descartada","Entregada")))</f>
        <v>#REF!</v>
      </c>
      <c r="D188" s="8" t="e">
        <f>IF(C188="En curso",
IF(Incidencias!#REF!="Sí","Bloqueante",
IF(Incidencias!#REF!="No","No bloqueante","NA")),"NA")</f>
        <v>#REF!</v>
      </c>
      <c r="E188" s="8" t="e">
        <f>IF(C188="En curso",
IF(Incidencias!#REF!="Usuario","Usuario",
IF(Incidencias!#REF!="Proceso","Proceso","NA")),"NA")</f>
        <v>#REF!</v>
      </c>
    </row>
    <row r="189" spans="1:5" x14ac:dyDescent="0.25">
      <c r="A189" s="19">
        <f>Incidencias!B254</f>
        <v>0</v>
      </c>
      <c r="B189" s="16" t="e">
        <f>IF(Incidencias!#REF!="Mejora","Mejora","Incidencia")</f>
        <v>#REF!</v>
      </c>
      <c r="C189" s="8" t="e">
        <f>IF(Incidencias!#REF!="Mejora","NA",IF(OR(Incidencias!#REF!="Abierta",Incidencias!#REF!="En proceso",Incidencias!#REF!="Info cliente")=TRUE,"En curso",IF(Incidencias!#REF!="Descartada","Descartada","Entregada")))</f>
        <v>#REF!</v>
      </c>
      <c r="D189" s="8" t="e">
        <f>IF(C189="En curso",
IF(Incidencias!#REF!="Sí","Bloqueante",
IF(Incidencias!#REF!="No","No bloqueante","NA")),"NA")</f>
        <v>#REF!</v>
      </c>
      <c r="E189" s="8" t="e">
        <f>IF(C189="En curso",
IF(Incidencias!#REF!="Usuario","Usuario",
IF(Incidencias!#REF!="Proceso","Proceso","NA")),"NA")</f>
        <v>#REF!</v>
      </c>
    </row>
    <row r="190" spans="1:5" x14ac:dyDescent="0.25">
      <c r="A190" s="19">
        <f>Incidencias!B255</f>
        <v>0</v>
      </c>
      <c r="B190" s="16" t="e">
        <f>IF(Incidencias!#REF!="Mejora","Mejora","Incidencia")</f>
        <v>#REF!</v>
      </c>
      <c r="C190" s="8" t="e">
        <f>IF(Incidencias!#REF!="Mejora","NA",IF(OR(Incidencias!#REF!="Abierta",Incidencias!#REF!="En proceso",Incidencias!#REF!="Info cliente")=TRUE,"En curso",IF(Incidencias!#REF!="Descartada","Descartada","Entregada")))</f>
        <v>#REF!</v>
      </c>
      <c r="D190" s="8" t="e">
        <f>IF(C190="En curso",
IF(Incidencias!#REF!="Sí","Bloqueante",
IF(Incidencias!#REF!="No","No bloqueante","NA")),"NA")</f>
        <v>#REF!</v>
      </c>
      <c r="E190" s="8" t="e">
        <f>IF(C190="En curso",
IF(Incidencias!#REF!="Usuario","Usuario",
IF(Incidencias!#REF!="Proceso","Proceso","NA")),"NA")</f>
        <v>#REF!</v>
      </c>
    </row>
    <row r="191" spans="1:5" x14ac:dyDescent="0.25">
      <c r="A191" s="19">
        <f>Incidencias!B256</f>
        <v>0</v>
      </c>
      <c r="B191" s="16" t="e">
        <f>IF(Incidencias!#REF!="Mejora","Mejora","Incidencia")</f>
        <v>#REF!</v>
      </c>
      <c r="C191" s="8" t="e">
        <f>IF(Incidencias!#REF!="Mejora","NA",IF(OR(Incidencias!#REF!="Abierta",Incidencias!#REF!="En proceso",Incidencias!#REF!="Info cliente")=TRUE,"En curso",IF(Incidencias!#REF!="Descartada","Descartada","Entregada")))</f>
        <v>#REF!</v>
      </c>
      <c r="D191" s="8" t="e">
        <f>IF(C191="En curso",
IF(Incidencias!#REF!="Sí","Bloqueante",
IF(Incidencias!#REF!="No","No bloqueante","NA")),"NA")</f>
        <v>#REF!</v>
      </c>
      <c r="E191" s="8" t="e">
        <f>IF(C191="En curso",
IF(Incidencias!#REF!="Usuario","Usuario",
IF(Incidencias!#REF!="Proceso","Proceso","NA")),"NA")</f>
        <v>#REF!</v>
      </c>
    </row>
    <row r="192" spans="1:5" x14ac:dyDescent="0.25">
      <c r="A192" s="19">
        <f>Incidencias!B257</f>
        <v>0</v>
      </c>
      <c r="B192" s="16" t="e">
        <f>IF(Incidencias!#REF!="Mejora","Mejora","Incidencia")</f>
        <v>#REF!</v>
      </c>
      <c r="C192" s="8" t="e">
        <f>IF(Incidencias!#REF!="Mejora","NA",IF(OR(Incidencias!#REF!="Abierta",Incidencias!#REF!="En proceso",Incidencias!#REF!="Info cliente")=TRUE,"En curso",IF(Incidencias!#REF!="Descartada","Descartada","Entregada")))</f>
        <v>#REF!</v>
      </c>
      <c r="D192" s="8" t="e">
        <f>IF(C192="En curso",
IF(Incidencias!#REF!="Sí","Bloqueante",
IF(Incidencias!#REF!="No","No bloqueante","NA")),"NA")</f>
        <v>#REF!</v>
      </c>
      <c r="E192" s="8" t="e">
        <f>IF(C192="En curso",
IF(Incidencias!#REF!="Usuario","Usuario",
IF(Incidencias!#REF!="Proceso","Proceso","NA")),"NA")</f>
        <v>#REF!</v>
      </c>
    </row>
    <row r="193" spans="1:5" x14ac:dyDescent="0.25">
      <c r="A193" s="19">
        <f>Incidencias!B258</f>
        <v>0</v>
      </c>
      <c r="B193" s="16" t="e">
        <f>IF(Incidencias!#REF!="Mejora","Mejora","Incidencia")</f>
        <v>#REF!</v>
      </c>
      <c r="C193" s="8" t="e">
        <f>IF(Incidencias!#REF!="Mejora","NA",IF(OR(Incidencias!#REF!="Abierta",Incidencias!#REF!="En proceso",Incidencias!#REF!="Info cliente")=TRUE,"En curso",IF(Incidencias!#REF!="Descartada","Descartada","Entregada")))</f>
        <v>#REF!</v>
      </c>
      <c r="D193" s="8" t="e">
        <f>IF(C193="En curso",
IF(Incidencias!#REF!="Sí","Bloqueante",
IF(Incidencias!#REF!="No","No bloqueante","NA")),"NA")</f>
        <v>#REF!</v>
      </c>
      <c r="E193" s="8" t="e">
        <f>IF(C193="En curso",
IF(Incidencias!#REF!="Usuario","Usuario",
IF(Incidencias!#REF!="Proceso","Proceso","NA")),"NA")</f>
        <v>#REF!</v>
      </c>
    </row>
    <row r="194" spans="1:5" x14ac:dyDescent="0.25">
      <c r="A194" s="19">
        <f>Incidencias!B259</f>
        <v>0</v>
      </c>
      <c r="B194" s="16" t="e">
        <f>IF(Incidencias!#REF!="Mejora","Mejora","Incidencia")</f>
        <v>#REF!</v>
      </c>
      <c r="C194" s="8" t="e">
        <f>IF(Incidencias!#REF!="Mejora","NA",IF(OR(Incidencias!#REF!="Abierta",Incidencias!#REF!="En proceso",Incidencias!#REF!="Info cliente")=TRUE,"En curso",IF(Incidencias!#REF!="Descartada","Descartada","Entregada")))</f>
        <v>#REF!</v>
      </c>
      <c r="D194" s="8" t="e">
        <f>IF(C194="En curso",
IF(Incidencias!#REF!="Sí","Bloqueante",
IF(Incidencias!#REF!="No","No bloqueante","NA")),"NA")</f>
        <v>#REF!</v>
      </c>
      <c r="E194" s="8" t="e">
        <f>IF(C194="En curso",
IF(Incidencias!#REF!="Usuario","Usuario",
IF(Incidencias!#REF!="Proceso","Proceso","NA")),"NA")</f>
        <v>#REF!</v>
      </c>
    </row>
    <row r="195" spans="1:5" x14ac:dyDescent="0.25">
      <c r="A195" s="19">
        <f>Incidencias!B260</f>
        <v>0</v>
      </c>
      <c r="B195" s="16" t="e">
        <f>IF(Incidencias!#REF!="Mejora","Mejora","Incidencia")</f>
        <v>#REF!</v>
      </c>
      <c r="C195" s="8" t="e">
        <f>IF(Incidencias!#REF!="Mejora","NA",IF(OR(Incidencias!#REF!="Abierta",Incidencias!#REF!="En proceso",Incidencias!#REF!="Info cliente")=TRUE,"En curso",IF(Incidencias!#REF!="Descartada","Descartada","Entregada")))</f>
        <v>#REF!</v>
      </c>
      <c r="D195" s="8" t="e">
        <f>IF(C195="En curso",
IF(Incidencias!#REF!="Sí","Bloqueante",
IF(Incidencias!#REF!="No","No bloqueante","NA")),"NA")</f>
        <v>#REF!</v>
      </c>
      <c r="E195" s="8" t="e">
        <f>IF(C195="En curso",
IF(Incidencias!#REF!="Usuario","Usuario",
IF(Incidencias!#REF!="Proceso","Proceso","NA")),"NA")</f>
        <v>#REF!</v>
      </c>
    </row>
    <row r="196" spans="1:5" x14ac:dyDescent="0.25">
      <c r="A196" s="19">
        <f>Incidencias!B261</f>
        <v>0</v>
      </c>
      <c r="B196" s="16" t="e">
        <f>IF(Incidencias!#REF!="Mejora","Mejora","Incidencia")</f>
        <v>#REF!</v>
      </c>
      <c r="C196" s="8" t="e">
        <f>IF(Incidencias!#REF!="Mejora","NA",IF(OR(Incidencias!#REF!="Abierta",Incidencias!#REF!="En proceso",Incidencias!#REF!="Info cliente")=TRUE,"En curso",IF(Incidencias!#REF!="Descartada","Descartada","Entregada")))</f>
        <v>#REF!</v>
      </c>
      <c r="D196" s="8" t="e">
        <f>IF(C196="En curso",
IF(Incidencias!#REF!="Sí","Bloqueante",
IF(Incidencias!#REF!="No","No bloqueante","NA")),"NA")</f>
        <v>#REF!</v>
      </c>
      <c r="E196" s="8" t="e">
        <f>IF(C196="En curso",
IF(Incidencias!#REF!="Usuario","Usuario",
IF(Incidencias!#REF!="Proceso","Proceso","NA")),"NA")</f>
        <v>#REF!</v>
      </c>
    </row>
    <row r="197" spans="1:5" x14ac:dyDescent="0.25">
      <c r="A197" s="19">
        <f>Incidencias!B262</f>
        <v>0</v>
      </c>
      <c r="B197" s="16" t="e">
        <f>IF(Incidencias!#REF!="Mejora","Mejora","Incidencia")</f>
        <v>#REF!</v>
      </c>
      <c r="C197" s="8" t="e">
        <f>IF(Incidencias!#REF!="Mejora","NA",IF(OR(Incidencias!#REF!="Abierta",Incidencias!#REF!="En proceso",Incidencias!#REF!="Info cliente")=TRUE,"En curso",IF(Incidencias!#REF!="Descartada","Descartada","Entregada")))</f>
        <v>#REF!</v>
      </c>
      <c r="D197" s="8" t="e">
        <f>IF(C197="En curso",
IF(Incidencias!#REF!="Sí","Bloqueante",
IF(Incidencias!#REF!="No","No bloqueante","NA")),"NA")</f>
        <v>#REF!</v>
      </c>
      <c r="E197" s="8" t="e">
        <f>IF(C197="En curso",
IF(Incidencias!#REF!="Usuario","Usuario",
IF(Incidencias!#REF!="Proceso","Proceso","NA")),"NA")</f>
        <v>#REF!</v>
      </c>
    </row>
    <row r="198" spans="1:5" x14ac:dyDescent="0.25">
      <c r="A198" s="19">
        <f>Incidencias!B263</f>
        <v>0</v>
      </c>
      <c r="B198" s="16" t="e">
        <f>IF(Incidencias!#REF!="Mejora","Mejora","Incidencia")</f>
        <v>#REF!</v>
      </c>
      <c r="C198" s="8" t="e">
        <f>IF(Incidencias!#REF!="Mejora","NA",IF(OR(Incidencias!#REF!="Abierta",Incidencias!#REF!="En proceso",Incidencias!#REF!="Info cliente")=TRUE,"En curso",IF(Incidencias!#REF!="Descartada","Descartada","Entregada")))</f>
        <v>#REF!</v>
      </c>
      <c r="D198" s="8" t="e">
        <f>IF(C198="En curso",
IF(Incidencias!#REF!="Sí","Bloqueante",
IF(Incidencias!#REF!="No","No bloqueante","NA")),"NA")</f>
        <v>#REF!</v>
      </c>
      <c r="E198" s="8" t="e">
        <f>IF(C198="En curso",
IF(Incidencias!#REF!="Usuario","Usuario",
IF(Incidencias!#REF!="Proceso","Proceso","NA")),"NA")</f>
        <v>#REF!</v>
      </c>
    </row>
    <row r="199" spans="1:5" x14ac:dyDescent="0.25">
      <c r="A199" s="19">
        <f>Incidencias!B264</f>
        <v>0</v>
      </c>
      <c r="B199" s="16" t="e">
        <f>IF(Incidencias!#REF!="Mejora","Mejora","Incidencia")</f>
        <v>#REF!</v>
      </c>
      <c r="C199" s="8" t="e">
        <f>IF(Incidencias!#REF!="Mejora","NA",IF(OR(Incidencias!#REF!="Abierta",Incidencias!#REF!="En proceso",Incidencias!#REF!="Info cliente")=TRUE,"En curso",IF(Incidencias!#REF!="Descartada","Descartada","Entregada")))</f>
        <v>#REF!</v>
      </c>
      <c r="D199" s="8" t="e">
        <f>IF(C199="En curso",
IF(Incidencias!#REF!="Sí","Bloqueante",
IF(Incidencias!#REF!="No","No bloqueante","NA")),"NA")</f>
        <v>#REF!</v>
      </c>
      <c r="E199" s="8" t="e">
        <f>IF(C199="En curso",
IF(Incidencias!#REF!="Usuario","Usuario",
IF(Incidencias!#REF!="Proceso","Proceso","NA")),"NA")</f>
        <v>#REF!</v>
      </c>
    </row>
    <row r="200" spans="1:5" x14ac:dyDescent="0.25">
      <c r="A200" s="19">
        <f>Incidencias!B265</f>
        <v>0</v>
      </c>
      <c r="B200" s="16" t="e">
        <f>IF(Incidencias!#REF!="Mejora","Mejora","Incidencia")</f>
        <v>#REF!</v>
      </c>
      <c r="C200" s="8" t="e">
        <f>IF(Incidencias!#REF!="Mejora","NA",IF(OR(Incidencias!#REF!="Abierta",Incidencias!#REF!="En proceso",Incidencias!#REF!="Info cliente")=TRUE,"En curso",IF(Incidencias!#REF!="Descartada","Descartada","Entregada")))</f>
        <v>#REF!</v>
      </c>
      <c r="D200" s="8" t="e">
        <f>IF(C200="En curso",
IF(Incidencias!#REF!="Sí","Bloqueante",
IF(Incidencias!#REF!="No","No bloqueante","NA")),"NA")</f>
        <v>#REF!</v>
      </c>
      <c r="E200" s="8" t="e">
        <f>IF(C200="En curso",
IF(Incidencias!#REF!="Usuario","Usuario",
IF(Incidencias!#REF!="Proceso","Proceso","NA")),"NA")</f>
        <v>#REF!</v>
      </c>
    </row>
    <row r="201" spans="1:5" x14ac:dyDescent="0.25">
      <c r="A201" s="19">
        <f>Incidencias!B266</f>
        <v>0</v>
      </c>
      <c r="B201" s="16" t="e">
        <f>IF(Incidencias!#REF!="Mejora","Mejora","Incidencia")</f>
        <v>#REF!</v>
      </c>
      <c r="C201" s="8" t="e">
        <f>IF(Incidencias!#REF!="Mejora","NA",IF(OR(Incidencias!#REF!="Abierta",Incidencias!#REF!="En proceso",Incidencias!#REF!="Info cliente")=TRUE,"En curso",IF(Incidencias!#REF!="Descartada","Descartada","Entregada")))</f>
        <v>#REF!</v>
      </c>
      <c r="D201" s="8" t="e">
        <f>IF(C201="En curso",
IF(Incidencias!#REF!="Sí","Bloqueante",
IF(Incidencias!#REF!="No","No bloqueante","NA")),"NA")</f>
        <v>#REF!</v>
      </c>
      <c r="E201" s="8" t="e">
        <f>IF(C201="En curso",
IF(Incidencias!#REF!="Usuario","Usuario",
IF(Incidencias!#REF!="Proceso","Proceso","NA")),"NA")</f>
        <v>#REF!</v>
      </c>
    </row>
    <row r="202" spans="1:5" x14ac:dyDescent="0.25">
      <c r="A202" s="19">
        <f>Incidencias!B267</f>
        <v>0</v>
      </c>
      <c r="B202" s="16" t="e">
        <f>IF(Incidencias!#REF!="Mejora","Mejora","Incidencia")</f>
        <v>#REF!</v>
      </c>
      <c r="C202" s="8" t="e">
        <f>IF(Incidencias!#REF!="Mejora","NA",IF(OR(Incidencias!#REF!="Abierta",Incidencias!#REF!="En proceso",Incidencias!#REF!="Info cliente")=TRUE,"En curso",IF(Incidencias!#REF!="Descartada","Descartada","Entregada")))</f>
        <v>#REF!</v>
      </c>
      <c r="D202" s="8" t="e">
        <f>IF(C202="En curso",
IF(Incidencias!#REF!="Sí","Bloqueante",
IF(Incidencias!#REF!="No","No bloqueante","NA")),"NA")</f>
        <v>#REF!</v>
      </c>
      <c r="E202" s="8" t="e">
        <f>IF(C202="En curso",
IF(Incidencias!#REF!="Usuario","Usuario",
IF(Incidencias!#REF!="Proceso","Proceso","NA")),"NA")</f>
        <v>#REF!</v>
      </c>
    </row>
    <row r="203" spans="1:5" x14ac:dyDescent="0.25">
      <c r="A203" s="19">
        <f>Incidencias!B268</f>
        <v>0</v>
      </c>
      <c r="B203" s="16" t="e">
        <f>IF(Incidencias!#REF!="Mejora","Mejora","Incidencia")</f>
        <v>#REF!</v>
      </c>
      <c r="C203" s="8" t="e">
        <f>IF(Incidencias!#REF!="Mejora","NA",IF(OR(Incidencias!#REF!="Abierta",Incidencias!#REF!="En proceso",Incidencias!#REF!="Info cliente")=TRUE,"En curso",IF(Incidencias!#REF!="Descartada","Descartada","Entregada")))</f>
        <v>#REF!</v>
      </c>
      <c r="D203" s="8" t="e">
        <f>IF(C203="En curso",
IF(Incidencias!#REF!="Sí","Bloqueante",
IF(Incidencias!#REF!="No","No bloqueante","NA")),"NA")</f>
        <v>#REF!</v>
      </c>
      <c r="E203" s="8" t="e">
        <f>IF(C203="En curso",
IF(Incidencias!#REF!="Usuario","Usuario",
IF(Incidencias!#REF!="Proceso","Proceso","NA")),"NA")</f>
        <v>#REF!</v>
      </c>
    </row>
    <row r="204" spans="1:5" x14ac:dyDescent="0.25">
      <c r="A204" s="19">
        <f>Incidencias!B269</f>
        <v>0</v>
      </c>
      <c r="B204" s="16" t="e">
        <f>IF(Incidencias!#REF!="Mejora","Mejora","Incidencia")</f>
        <v>#REF!</v>
      </c>
      <c r="C204" s="8" t="e">
        <f>IF(Incidencias!#REF!="Mejora","NA",IF(OR(Incidencias!#REF!="Abierta",Incidencias!#REF!="En proceso",Incidencias!#REF!="Info cliente")=TRUE,"En curso",IF(Incidencias!#REF!="Descartada","Descartada","Entregada")))</f>
        <v>#REF!</v>
      </c>
      <c r="D204" s="8" t="e">
        <f>IF(C204="En curso",
IF(Incidencias!#REF!="Sí","Bloqueante",
IF(Incidencias!#REF!="No","No bloqueante","NA")),"NA")</f>
        <v>#REF!</v>
      </c>
      <c r="E204" s="8" t="e">
        <f>IF(C204="En curso",
IF(Incidencias!#REF!="Usuario","Usuario",
IF(Incidencias!#REF!="Proceso","Proceso","NA")),"NA")</f>
        <v>#REF!</v>
      </c>
    </row>
    <row r="205" spans="1:5" x14ac:dyDescent="0.25">
      <c r="A205" s="19">
        <f>Incidencias!B270</f>
        <v>0</v>
      </c>
      <c r="B205" s="16" t="e">
        <f>IF(Incidencias!#REF!="Mejora","Mejora","Incidencia")</f>
        <v>#REF!</v>
      </c>
      <c r="C205" s="8" t="e">
        <f>IF(Incidencias!#REF!="Mejora","NA",IF(OR(Incidencias!#REF!="Abierta",Incidencias!#REF!="En proceso",Incidencias!#REF!="Info cliente")=TRUE,"En curso",IF(Incidencias!#REF!="Descartada","Descartada","Entregada")))</f>
        <v>#REF!</v>
      </c>
      <c r="D205" s="8" t="e">
        <f>IF(C205="En curso",
IF(Incidencias!#REF!="Sí","Bloqueante",
IF(Incidencias!#REF!="No","No bloqueante","NA")),"NA")</f>
        <v>#REF!</v>
      </c>
      <c r="E205" s="8" t="e">
        <f>IF(C205="En curso",
IF(Incidencias!#REF!="Usuario","Usuario",
IF(Incidencias!#REF!="Proceso","Proceso","NA")),"NA")</f>
        <v>#REF!</v>
      </c>
    </row>
    <row r="206" spans="1:5" x14ac:dyDescent="0.25">
      <c r="A206" s="19">
        <f>Incidencias!B271</f>
        <v>0</v>
      </c>
      <c r="B206" s="16" t="e">
        <f>IF(Incidencias!#REF!="Mejora","Mejora","Incidencia")</f>
        <v>#REF!</v>
      </c>
      <c r="C206" s="8" t="e">
        <f>IF(Incidencias!#REF!="Mejora","NA",IF(OR(Incidencias!#REF!="Abierta",Incidencias!#REF!="En proceso",Incidencias!#REF!="Info cliente")=TRUE,"En curso",IF(Incidencias!#REF!="Descartada","Descartada","Entregada")))</f>
        <v>#REF!</v>
      </c>
      <c r="D206" s="8" t="e">
        <f>IF(C206="En curso",
IF(Incidencias!#REF!="Sí","Bloqueante",
IF(Incidencias!#REF!="No","No bloqueante","NA")),"NA")</f>
        <v>#REF!</v>
      </c>
      <c r="E206" s="8" t="e">
        <f>IF(C206="En curso",
IF(Incidencias!#REF!="Usuario","Usuario",
IF(Incidencias!#REF!="Proceso","Proceso","NA")),"NA")</f>
        <v>#REF!</v>
      </c>
    </row>
    <row r="207" spans="1:5" x14ac:dyDescent="0.25">
      <c r="A207" s="19">
        <f>Incidencias!B272</f>
        <v>0</v>
      </c>
      <c r="B207" s="16" t="e">
        <f>IF(Incidencias!#REF!="Mejora","Mejora","Incidencia")</f>
        <v>#REF!</v>
      </c>
      <c r="C207" s="8" t="e">
        <f>IF(Incidencias!#REF!="Mejora","NA",IF(OR(Incidencias!#REF!="Abierta",Incidencias!#REF!="En proceso",Incidencias!#REF!="Info cliente")=TRUE,"En curso",IF(Incidencias!#REF!="Descartada","Descartada","Entregada")))</f>
        <v>#REF!</v>
      </c>
      <c r="D207" s="8" t="e">
        <f>IF(C207="En curso",
IF(Incidencias!#REF!="Sí","Bloqueante",
IF(Incidencias!#REF!="No","No bloqueante","NA")),"NA")</f>
        <v>#REF!</v>
      </c>
      <c r="E207" s="8" t="e">
        <f>IF(C207="En curso",
IF(Incidencias!#REF!="Usuario","Usuario",
IF(Incidencias!#REF!="Proceso","Proceso","NA")),"NA")</f>
        <v>#REF!</v>
      </c>
    </row>
    <row r="208" spans="1:5" x14ac:dyDescent="0.25">
      <c r="A208" s="19">
        <f>Incidencias!B273</f>
        <v>0</v>
      </c>
      <c r="B208" s="16" t="e">
        <f>IF(Incidencias!#REF!="Mejora","Mejora","Incidencia")</f>
        <v>#REF!</v>
      </c>
      <c r="C208" s="8" t="e">
        <f>IF(Incidencias!#REF!="Mejora","NA",IF(OR(Incidencias!#REF!="Abierta",Incidencias!#REF!="En proceso",Incidencias!#REF!="Info cliente")=TRUE,"En curso",IF(Incidencias!#REF!="Descartada","Descartada","Entregada")))</f>
        <v>#REF!</v>
      </c>
      <c r="D208" s="8" t="e">
        <f>IF(C208="En curso",
IF(Incidencias!#REF!="Sí","Bloqueante",
IF(Incidencias!#REF!="No","No bloqueante","NA")),"NA")</f>
        <v>#REF!</v>
      </c>
      <c r="E208" s="8" t="e">
        <f>IF(C208="En curso",
IF(Incidencias!#REF!="Usuario","Usuario",
IF(Incidencias!#REF!="Proceso","Proceso","NA")),"NA")</f>
        <v>#REF!</v>
      </c>
    </row>
    <row r="209" spans="1:5" x14ac:dyDescent="0.25">
      <c r="A209" s="19">
        <f>Incidencias!B274</f>
        <v>0</v>
      </c>
      <c r="B209" s="16" t="e">
        <f>IF(Incidencias!#REF!="Mejora","Mejora","Incidencia")</f>
        <v>#REF!</v>
      </c>
      <c r="C209" s="8" t="e">
        <f>IF(Incidencias!#REF!="Mejora","NA",IF(OR(Incidencias!#REF!="Abierta",Incidencias!#REF!="En proceso",Incidencias!#REF!="Info cliente")=TRUE,"En curso",IF(Incidencias!#REF!="Descartada","Descartada","Entregada")))</f>
        <v>#REF!</v>
      </c>
      <c r="D209" s="8" t="e">
        <f>IF(C209="En curso",
IF(Incidencias!#REF!="Sí","Bloqueante",
IF(Incidencias!#REF!="No","No bloqueante","NA")),"NA")</f>
        <v>#REF!</v>
      </c>
      <c r="E209" s="8" t="e">
        <f>IF(C209="En curso",
IF(Incidencias!#REF!="Usuario","Usuario",
IF(Incidencias!#REF!="Proceso","Proceso","NA")),"NA")</f>
        <v>#REF!</v>
      </c>
    </row>
    <row r="210" spans="1:5" x14ac:dyDescent="0.25">
      <c r="A210" s="19">
        <f>Incidencias!B275</f>
        <v>0</v>
      </c>
      <c r="B210" s="16" t="e">
        <f>IF(Incidencias!#REF!="Mejora","Mejora","Incidencia")</f>
        <v>#REF!</v>
      </c>
      <c r="C210" s="8" t="e">
        <f>IF(Incidencias!#REF!="Mejora","NA",IF(OR(Incidencias!#REF!="Abierta",Incidencias!#REF!="En proceso",Incidencias!#REF!="Info cliente")=TRUE,"En curso",IF(Incidencias!#REF!="Descartada","Descartada","Entregada")))</f>
        <v>#REF!</v>
      </c>
      <c r="D210" s="8" t="e">
        <f>IF(C210="En curso",
IF(Incidencias!#REF!="Sí","Bloqueante",
IF(Incidencias!#REF!="No","No bloqueante","NA")),"NA")</f>
        <v>#REF!</v>
      </c>
      <c r="E210" s="8" t="e">
        <f>IF(C210="En curso",
IF(Incidencias!#REF!="Usuario","Usuario",
IF(Incidencias!#REF!="Proceso","Proceso","NA")),"NA")</f>
        <v>#REF!</v>
      </c>
    </row>
    <row r="211" spans="1:5" x14ac:dyDescent="0.25">
      <c r="A211" s="19">
        <f>Incidencias!B276</f>
        <v>0</v>
      </c>
      <c r="B211" s="16" t="e">
        <f>IF(Incidencias!#REF!="Mejora","Mejora","Incidencia")</f>
        <v>#REF!</v>
      </c>
      <c r="C211" s="8" t="e">
        <f>IF(Incidencias!#REF!="Mejora","NA",IF(OR(Incidencias!#REF!="Abierta",Incidencias!#REF!="En proceso",Incidencias!#REF!="Info cliente")=TRUE,"En curso",IF(Incidencias!#REF!="Descartada","Descartada","Entregada")))</f>
        <v>#REF!</v>
      </c>
      <c r="D211" s="8" t="e">
        <f>IF(C211="En curso",
IF(Incidencias!#REF!="Sí","Bloqueante",
IF(Incidencias!#REF!="No","No bloqueante","NA")),"NA")</f>
        <v>#REF!</v>
      </c>
      <c r="E211" s="8" t="e">
        <f>IF(C211="En curso",
IF(Incidencias!#REF!="Usuario","Usuario",
IF(Incidencias!#REF!="Proceso","Proceso","NA")),"NA")</f>
        <v>#REF!</v>
      </c>
    </row>
    <row r="212" spans="1:5" x14ac:dyDescent="0.25">
      <c r="A212" s="19">
        <f>Incidencias!B277</f>
        <v>0</v>
      </c>
      <c r="B212" s="16" t="e">
        <f>IF(Incidencias!#REF!="Mejora","Mejora","Incidencia")</f>
        <v>#REF!</v>
      </c>
      <c r="C212" s="8" t="e">
        <f>IF(Incidencias!#REF!="Mejora","NA",IF(OR(Incidencias!#REF!="Abierta",Incidencias!#REF!="En proceso",Incidencias!#REF!="Info cliente")=TRUE,"En curso",IF(Incidencias!#REF!="Descartada","Descartada","Entregada")))</f>
        <v>#REF!</v>
      </c>
      <c r="D212" s="8" t="e">
        <f>IF(C212="En curso",
IF(Incidencias!#REF!="Sí","Bloqueante",
IF(Incidencias!#REF!="No","No bloqueante","NA")),"NA")</f>
        <v>#REF!</v>
      </c>
      <c r="E212" s="8" t="e">
        <f>IF(C212="En curso",
IF(Incidencias!#REF!="Usuario","Usuario",
IF(Incidencias!#REF!="Proceso","Proceso","NA")),"NA")</f>
        <v>#REF!</v>
      </c>
    </row>
    <row r="213" spans="1:5" x14ac:dyDescent="0.25">
      <c r="A213" s="19">
        <f>Incidencias!B278</f>
        <v>0</v>
      </c>
      <c r="B213" s="16" t="e">
        <f>IF(Incidencias!#REF!="Mejora","Mejora","Incidencia")</f>
        <v>#REF!</v>
      </c>
      <c r="C213" s="8" t="e">
        <f>IF(Incidencias!#REF!="Mejora","NA",IF(OR(Incidencias!#REF!="Abierta",Incidencias!#REF!="En proceso",Incidencias!#REF!="Info cliente")=TRUE,"En curso",IF(Incidencias!#REF!="Descartada","Descartada","Entregada")))</f>
        <v>#REF!</v>
      </c>
      <c r="D213" s="8" t="e">
        <f>IF(C213="En curso",
IF(Incidencias!#REF!="Sí","Bloqueante",
IF(Incidencias!#REF!="No","No bloqueante","NA")),"NA")</f>
        <v>#REF!</v>
      </c>
      <c r="E213" s="8" t="e">
        <f>IF(C213="En curso",
IF(Incidencias!#REF!="Usuario","Usuario",
IF(Incidencias!#REF!="Proceso","Proceso","NA")),"NA")</f>
        <v>#REF!</v>
      </c>
    </row>
    <row r="214" spans="1:5" x14ac:dyDescent="0.25">
      <c r="A214" s="19">
        <f>Incidencias!B279</f>
        <v>0</v>
      </c>
      <c r="B214" s="16" t="e">
        <f>IF(Incidencias!#REF!="Mejora","Mejora","Incidencia")</f>
        <v>#REF!</v>
      </c>
      <c r="C214" s="8" t="e">
        <f>IF(Incidencias!#REF!="Mejora","NA",IF(OR(Incidencias!#REF!="Abierta",Incidencias!#REF!="En proceso",Incidencias!#REF!="Info cliente")=TRUE,"En curso",IF(Incidencias!#REF!="Descartada","Descartada","Entregada")))</f>
        <v>#REF!</v>
      </c>
      <c r="D214" s="8" t="e">
        <f>IF(C214="En curso",
IF(Incidencias!#REF!="Sí","Bloqueante",
IF(Incidencias!#REF!="No","No bloqueante","NA")),"NA")</f>
        <v>#REF!</v>
      </c>
      <c r="E214" s="8" t="e">
        <f>IF(C214="En curso",
IF(Incidencias!#REF!="Usuario","Usuario",
IF(Incidencias!#REF!="Proceso","Proceso","NA")),"NA")</f>
        <v>#REF!</v>
      </c>
    </row>
    <row r="215" spans="1:5" x14ac:dyDescent="0.25">
      <c r="A215" s="19">
        <f>Incidencias!B280</f>
        <v>0</v>
      </c>
      <c r="B215" s="16" t="e">
        <f>IF(Incidencias!#REF!="Mejora","Mejora","Incidencia")</f>
        <v>#REF!</v>
      </c>
      <c r="C215" s="8" t="e">
        <f>IF(Incidencias!#REF!="Mejora","NA",IF(OR(Incidencias!#REF!="Abierta",Incidencias!#REF!="En proceso",Incidencias!#REF!="Info cliente")=TRUE,"En curso",IF(Incidencias!#REF!="Descartada","Descartada","Entregada")))</f>
        <v>#REF!</v>
      </c>
      <c r="D215" s="8" t="e">
        <f>IF(C215="En curso",
IF(Incidencias!#REF!="Sí","Bloqueante",
IF(Incidencias!#REF!="No","No bloqueante","NA")),"NA")</f>
        <v>#REF!</v>
      </c>
      <c r="E215" s="8" t="e">
        <f>IF(C215="En curso",
IF(Incidencias!#REF!="Usuario","Usuario",
IF(Incidencias!#REF!="Proceso","Proceso","NA")),"NA")</f>
        <v>#REF!</v>
      </c>
    </row>
    <row r="216" spans="1:5" x14ac:dyDescent="0.25">
      <c r="A216" s="19">
        <f>Incidencias!B281</f>
        <v>0</v>
      </c>
      <c r="B216" s="16" t="e">
        <f>IF(Incidencias!#REF!="Mejora","Mejora","Incidencia")</f>
        <v>#REF!</v>
      </c>
      <c r="C216" s="8" t="e">
        <f>IF(Incidencias!#REF!="Mejora","NA",IF(OR(Incidencias!#REF!="Abierta",Incidencias!#REF!="En proceso",Incidencias!#REF!="Info cliente")=TRUE,"En curso",IF(Incidencias!#REF!="Descartada","Descartada","Entregada")))</f>
        <v>#REF!</v>
      </c>
      <c r="D216" s="8" t="e">
        <f>IF(C216="En curso",
IF(Incidencias!#REF!="Sí","Bloqueante",
IF(Incidencias!#REF!="No","No bloqueante","NA")),"NA")</f>
        <v>#REF!</v>
      </c>
      <c r="E216" s="8" t="e">
        <f>IF(C216="En curso",
IF(Incidencias!#REF!="Usuario","Usuario",
IF(Incidencias!#REF!="Proceso","Proceso","NA")),"NA")</f>
        <v>#REF!</v>
      </c>
    </row>
    <row r="217" spans="1:5" x14ac:dyDescent="0.25">
      <c r="A217" s="19">
        <f>Incidencias!B282</f>
        <v>0</v>
      </c>
      <c r="B217" s="16" t="e">
        <f>IF(Incidencias!#REF!="Mejora","Mejora","Incidencia")</f>
        <v>#REF!</v>
      </c>
      <c r="C217" s="8" t="e">
        <f>IF(Incidencias!#REF!="Mejora","NA",IF(OR(Incidencias!#REF!="Abierta",Incidencias!#REF!="En proceso",Incidencias!#REF!="Info cliente")=TRUE,"En curso",IF(Incidencias!#REF!="Descartada","Descartada","Entregada")))</f>
        <v>#REF!</v>
      </c>
      <c r="D217" s="8" t="e">
        <f>IF(C217="En curso",
IF(Incidencias!#REF!="Sí","Bloqueante",
IF(Incidencias!#REF!="No","No bloqueante","NA")),"NA")</f>
        <v>#REF!</v>
      </c>
      <c r="E217" s="8" t="e">
        <f>IF(C217="En curso",
IF(Incidencias!#REF!="Usuario","Usuario",
IF(Incidencias!#REF!="Proceso","Proceso","NA")),"NA")</f>
        <v>#REF!</v>
      </c>
    </row>
    <row r="218" spans="1:5" x14ac:dyDescent="0.25">
      <c r="A218" s="19">
        <f>Incidencias!B283</f>
        <v>0</v>
      </c>
      <c r="B218" s="16" t="e">
        <f>IF(Incidencias!#REF!="Mejora","Mejora","Incidencia")</f>
        <v>#REF!</v>
      </c>
      <c r="C218" s="8" t="e">
        <f>IF(Incidencias!#REF!="Mejora","NA",IF(OR(Incidencias!#REF!="Abierta",Incidencias!#REF!="En proceso",Incidencias!#REF!="Info cliente")=TRUE,"En curso",IF(Incidencias!#REF!="Descartada","Descartada","Entregada")))</f>
        <v>#REF!</v>
      </c>
      <c r="D218" s="8" t="e">
        <f>IF(C218="En curso",
IF(Incidencias!#REF!="Sí","Bloqueante",
IF(Incidencias!#REF!="No","No bloqueante","NA")),"NA")</f>
        <v>#REF!</v>
      </c>
      <c r="E218" s="8" t="e">
        <f>IF(C218="En curso",
IF(Incidencias!#REF!="Usuario","Usuario",
IF(Incidencias!#REF!="Proceso","Proceso","NA")),"NA")</f>
        <v>#REF!</v>
      </c>
    </row>
    <row r="219" spans="1:5" x14ac:dyDescent="0.25">
      <c r="A219" s="19">
        <f>Incidencias!B284</f>
        <v>0</v>
      </c>
      <c r="B219" s="16" t="e">
        <f>IF(Incidencias!#REF!="Mejora","Mejora","Incidencia")</f>
        <v>#REF!</v>
      </c>
      <c r="C219" s="8" t="e">
        <f>IF(Incidencias!#REF!="Mejora","NA",IF(OR(Incidencias!#REF!="Abierta",Incidencias!#REF!="En proceso",Incidencias!#REF!="Info cliente")=TRUE,"En curso",IF(Incidencias!#REF!="Descartada","Descartada","Entregada")))</f>
        <v>#REF!</v>
      </c>
      <c r="D219" s="8" t="e">
        <f>IF(C219="En curso",
IF(Incidencias!#REF!="Sí","Bloqueante",
IF(Incidencias!#REF!="No","No bloqueante","NA")),"NA")</f>
        <v>#REF!</v>
      </c>
      <c r="E219" s="8" t="e">
        <f>IF(C219="En curso",
IF(Incidencias!#REF!="Usuario","Usuario",
IF(Incidencias!#REF!="Proceso","Proceso","NA")),"NA")</f>
        <v>#REF!</v>
      </c>
    </row>
    <row r="220" spans="1:5" x14ac:dyDescent="0.25">
      <c r="A220" s="19">
        <f>Incidencias!B285</f>
        <v>0</v>
      </c>
      <c r="B220" s="16" t="e">
        <f>IF(Incidencias!#REF!="Mejora","Mejora","Incidencia")</f>
        <v>#REF!</v>
      </c>
      <c r="C220" s="8" t="e">
        <f>IF(Incidencias!#REF!="Mejora","NA",IF(OR(Incidencias!#REF!="Abierta",Incidencias!#REF!="En proceso",Incidencias!#REF!="Info cliente")=TRUE,"En curso",IF(Incidencias!#REF!="Descartada","Descartada","Entregada")))</f>
        <v>#REF!</v>
      </c>
      <c r="D220" s="8" t="e">
        <f>IF(C220="En curso",
IF(Incidencias!#REF!="Sí","Bloqueante",
IF(Incidencias!#REF!="No","No bloqueante","NA")),"NA")</f>
        <v>#REF!</v>
      </c>
      <c r="E220" s="8" t="e">
        <f>IF(C220="En curso",
IF(Incidencias!#REF!="Usuario","Usuario",
IF(Incidencias!#REF!="Proceso","Proceso","NA")),"NA")</f>
        <v>#REF!</v>
      </c>
    </row>
    <row r="221" spans="1:5" x14ac:dyDescent="0.25">
      <c r="A221" s="19">
        <f>Incidencias!B286</f>
        <v>0</v>
      </c>
      <c r="B221" s="16" t="e">
        <f>IF(Incidencias!#REF!="Mejora","Mejora","Incidencia")</f>
        <v>#REF!</v>
      </c>
      <c r="C221" s="8" t="e">
        <f>IF(Incidencias!#REF!="Mejora","NA",IF(OR(Incidencias!#REF!="Abierta",Incidencias!#REF!="En proceso",Incidencias!#REF!="Info cliente")=TRUE,"En curso",IF(Incidencias!#REF!="Descartada","Descartada","Entregada")))</f>
        <v>#REF!</v>
      </c>
      <c r="D221" s="8" t="e">
        <f>IF(C221="En curso",
IF(Incidencias!#REF!="Sí","Bloqueante",
IF(Incidencias!#REF!="No","No bloqueante","NA")),"NA")</f>
        <v>#REF!</v>
      </c>
      <c r="E221" s="8" t="e">
        <f>IF(C221="En curso",
IF(Incidencias!#REF!="Usuario","Usuario",
IF(Incidencias!#REF!="Proceso","Proceso","NA")),"NA")</f>
        <v>#REF!</v>
      </c>
    </row>
    <row r="222" spans="1:5" x14ac:dyDescent="0.25">
      <c r="A222" s="19">
        <f>Incidencias!B287</f>
        <v>0</v>
      </c>
      <c r="B222" s="16" t="e">
        <f>IF(Incidencias!#REF!="Mejora","Mejora","Incidencia")</f>
        <v>#REF!</v>
      </c>
      <c r="C222" s="8" t="e">
        <f>IF(Incidencias!#REF!="Mejora","NA",IF(OR(Incidencias!#REF!="Abierta",Incidencias!#REF!="En proceso",Incidencias!#REF!="Info cliente")=TRUE,"En curso",IF(Incidencias!#REF!="Descartada","Descartada","Entregada")))</f>
        <v>#REF!</v>
      </c>
      <c r="D222" s="8" t="e">
        <f>IF(C222="En curso",
IF(Incidencias!#REF!="Sí","Bloqueante",
IF(Incidencias!#REF!="No","No bloqueante","NA")),"NA")</f>
        <v>#REF!</v>
      </c>
      <c r="E222" s="8" t="e">
        <f>IF(C222="En curso",
IF(Incidencias!#REF!="Usuario","Usuario",
IF(Incidencias!#REF!="Proceso","Proceso","NA")),"NA")</f>
        <v>#REF!</v>
      </c>
    </row>
    <row r="223" spans="1:5" x14ac:dyDescent="0.25">
      <c r="A223" s="19">
        <f>Incidencias!B288</f>
        <v>0</v>
      </c>
      <c r="B223" s="16" t="e">
        <f>IF(Incidencias!#REF!="Mejora","Mejora","Incidencia")</f>
        <v>#REF!</v>
      </c>
      <c r="C223" s="8" t="e">
        <f>IF(Incidencias!#REF!="Mejora","NA",IF(OR(Incidencias!#REF!="Abierta",Incidencias!#REF!="En proceso",Incidencias!#REF!="Info cliente")=TRUE,"En curso",IF(Incidencias!#REF!="Descartada","Descartada","Entregada")))</f>
        <v>#REF!</v>
      </c>
      <c r="D223" s="8" t="e">
        <f>IF(C223="En curso",
IF(Incidencias!#REF!="Sí","Bloqueante",
IF(Incidencias!#REF!="No","No bloqueante","NA")),"NA")</f>
        <v>#REF!</v>
      </c>
      <c r="E223" s="8" t="e">
        <f>IF(C223="En curso",
IF(Incidencias!#REF!="Usuario","Usuario",
IF(Incidencias!#REF!="Proceso","Proceso","NA")),"NA")</f>
        <v>#REF!</v>
      </c>
    </row>
    <row r="224" spans="1:5" x14ac:dyDescent="0.25">
      <c r="A224" s="19">
        <f>Incidencias!B289</f>
        <v>0</v>
      </c>
      <c r="B224" s="16" t="e">
        <f>IF(Incidencias!#REF!="Mejora","Mejora","Incidencia")</f>
        <v>#REF!</v>
      </c>
      <c r="C224" s="8" t="e">
        <f>IF(Incidencias!#REF!="Mejora","NA",IF(OR(Incidencias!#REF!="Abierta",Incidencias!#REF!="En proceso",Incidencias!#REF!="Info cliente")=TRUE,"En curso",IF(Incidencias!#REF!="Descartada","Descartada","Entregada")))</f>
        <v>#REF!</v>
      </c>
      <c r="D224" s="8" t="e">
        <f>IF(C224="En curso",
IF(Incidencias!#REF!="Sí","Bloqueante",
IF(Incidencias!#REF!="No","No bloqueante","NA")),"NA")</f>
        <v>#REF!</v>
      </c>
      <c r="E224" s="8" t="e">
        <f>IF(C224="En curso",
IF(Incidencias!#REF!="Usuario","Usuario",
IF(Incidencias!#REF!="Proceso","Proceso","NA")),"NA")</f>
        <v>#REF!</v>
      </c>
    </row>
    <row r="225" spans="1:5" x14ac:dyDescent="0.25">
      <c r="A225" s="19">
        <f>Incidencias!B290</f>
        <v>0</v>
      </c>
      <c r="B225" s="16" t="e">
        <f>IF(Incidencias!#REF!="Mejora","Mejora","Incidencia")</f>
        <v>#REF!</v>
      </c>
      <c r="C225" s="8" t="e">
        <f>IF(Incidencias!#REF!="Mejora","NA",IF(OR(Incidencias!#REF!="Abierta",Incidencias!#REF!="En proceso",Incidencias!#REF!="Info cliente")=TRUE,"En curso",IF(Incidencias!#REF!="Descartada","Descartada","Entregada")))</f>
        <v>#REF!</v>
      </c>
      <c r="D225" s="8" t="e">
        <f>IF(C225="En curso",
IF(Incidencias!#REF!="Sí","Bloqueante",
IF(Incidencias!#REF!="No","No bloqueante","NA")),"NA")</f>
        <v>#REF!</v>
      </c>
      <c r="E225" s="8" t="e">
        <f>IF(C225="En curso",
IF(Incidencias!#REF!="Usuario","Usuario",
IF(Incidencias!#REF!="Proceso","Proceso","NA")),"NA")</f>
        <v>#REF!</v>
      </c>
    </row>
    <row r="226" spans="1:5" x14ac:dyDescent="0.25">
      <c r="A226" s="19">
        <f>Incidencias!B291</f>
        <v>0</v>
      </c>
      <c r="B226" s="16" t="e">
        <f>IF(Incidencias!#REF!="Mejora","Mejora","Incidencia")</f>
        <v>#REF!</v>
      </c>
      <c r="C226" s="8" t="e">
        <f>IF(Incidencias!#REF!="Mejora","NA",IF(OR(Incidencias!#REF!="Abierta",Incidencias!#REF!="En proceso",Incidencias!#REF!="Info cliente")=TRUE,"En curso",IF(Incidencias!#REF!="Descartada","Descartada","Entregada")))</f>
        <v>#REF!</v>
      </c>
      <c r="D226" s="8" t="e">
        <f>IF(C226="En curso",
IF(Incidencias!#REF!="Sí","Bloqueante",
IF(Incidencias!#REF!="No","No bloqueante","NA")),"NA")</f>
        <v>#REF!</v>
      </c>
      <c r="E226" s="8" t="e">
        <f>IF(C226="En curso",
IF(Incidencias!#REF!="Usuario","Usuario",
IF(Incidencias!#REF!="Proceso","Proceso","NA")),"NA")</f>
        <v>#REF!</v>
      </c>
    </row>
    <row r="227" spans="1:5" x14ac:dyDescent="0.25">
      <c r="A227" s="19">
        <f>Incidencias!B292</f>
        <v>0</v>
      </c>
      <c r="B227" s="16" t="e">
        <f>IF(Incidencias!#REF!="Mejora","Mejora","Incidencia")</f>
        <v>#REF!</v>
      </c>
      <c r="C227" s="8" t="e">
        <f>IF(Incidencias!#REF!="Mejora","NA",IF(OR(Incidencias!#REF!="Abierta",Incidencias!#REF!="En proceso",Incidencias!#REF!="Info cliente")=TRUE,"En curso",IF(Incidencias!#REF!="Descartada","Descartada","Entregada")))</f>
        <v>#REF!</v>
      </c>
      <c r="D227" s="8" t="e">
        <f>IF(C227="En curso",
IF(Incidencias!#REF!="Sí","Bloqueante",
IF(Incidencias!#REF!="No","No bloqueante","NA")),"NA")</f>
        <v>#REF!</v>
      </c>
      <c r="E227" s="8" t="e">
        <f>IF(C227="En curso",
IF(Incidencias!#REF!="Usuario","Usuario",
IF(Incidencias!#REF!="Proceso","Proceso","NA")),"NA")</f>
        <v>#REF!</v>
      </c>
    </row>
    <row r="228" spans="1:5" x14ac:dyDescent="0.25">
      <c r="A228" s="19">
        <f>Incidencias!B293</f>
        <v>0</v>
      </c>
      <c r="B228" s="16" t="e">
        <f>IF(Incidencias!#REF!="Mejora","Mejora","Incidencia")</f>
        <v>#REF!</v>
      </c>
      <c r="C228" s="8" t="e">
        <f>IF(Incidencias!#REF!="Mejora","NA",IF(OR(Incidencias!#REF!="Abierta",Incidencias!#REF!="En proceso",Incidencias!#REF!="Info cliente")=TRUE,"En curso",IF(Incidencias!#REF!="Descartada","Descartada","Entregada")))</f>
        <v>#REF!</v>
      </c>
      <c r="D228" s="8" t="e">
        <f>IF(C228="En curso",
IF(Incidencias!#REF!="Sí","Bloqueante",
IF(Incidencias!#REF!="No","No bloqueante","NA")),"NA")</f>
        <v>#REF!</v>
      </c>
      <c r="E228" s="8" t="e">
        <f>IF(C228="En curso",
IF(Incidencias!#REF!="Usuario","Usuario",
IF(Incidencias!#REF!="Proceso","Proceso","NA")),"NA")</f>
        <v>#REF!</v>
      </c>
    </row>
    <row r="229" spans="1:5" x14ac:dyDescent="0.25">
      <c r="A229" s="19">
        <f>Incidencias!B294</f>
        <v>0</v>
      </c>
      <c r="B229" s="16" t="e">
        <f>IF(Incidencias!#REF!="Mejora","Mejora","Incidencia")</f>
        <v>#REF!</v>
      </c>
      <c r="C229" s="8" t="e">
        <f>IF(Incidencias!#REF!="Mejora","NA",IF(OR(Incidencias!#REF!="Abierta",Incidencias!#REF!="En proceso",Incidencias!#REF!="Info cliente")=TRUE,"En curso",IF(Incidencias!#REF!="Descartada","Descartada","Entregada")))</f>
        <v>#REF!</v>
      </c>
      <c r="D229" s="8" t="e">
        <f>IF(C229="En curso",
IF(Incidencias!#REF!="Sí","Bloqueante",
IF(Incidencias!#REF!="No","No bloqueante","NA")),"NA")</f>
        <v>#REF!</v>
      </c>
      <c r="E229" s="8" t="e">
        <f>IF(C229="En curso",
IF(Incidencias!#REF!="Usuario","Usuario",
IF(Incidencias!#REF!="Proceso","Proceso","NA")),"NA")</f>
        <v>#REF!</v>
      </c>
    </row>
    <row r="230" spans="1:5" x14ac:dyDescent="0.25">
      <c r="A230" s="19">
        <f>Incidencias!B295</f>
        <v>0</v>
      </c>
      <c r="B230" s="16" t="e">
        <f>IF(Incidencias!#REF!="Mejora","Mejora","Incidencia")</f>
        <v>#REF!</v>
      </c>
      <c r="C230" s="8" t="e">
        <f>IF(Incidencias!#REF!="Mejora","NA",IF(OR(Incidencias!#REF!="Abierta",Incidencias!#REF!="En proceso",Incidencias!#REF!="Info cliente")=TRUE,"En curso",IF(Incidencias!#REF!="Descartada","Descartada","Entregada")))</f>
        <v>#REF!</v>
      </c>
      <c r="D230" s="8" t="e">
        <f>IF(C230="En curso",
IF(Incidencias!#REF!="Sí","Bloqueante",
IF(Incidencias!#REF!="No","No bloqueante","NA")),"NA")</f>
        <v>#REF!</v>
      </c>
      <c r="E230" s="8" t="e">
        <f>IF(C230="En curso",
IF(Incidencias!#REF!="Usuario","Usuario",
IF(Incidencias!#REF!="Proceso","Proceso","NA")),"NA")</f>
        <v>#REF!</v>
      </c>
    </row>
    <row r="231" spans="1:5" x14ac:dyDescent="0.25">
      <c r="A231" s="19">
        <f>Incidencias!B296</f>
        <v>0</v>
      </c>
      <c r="B231" s="16" t="e">
        <f>IF(Incidencias!#REF!="Mejora","Mejora","Incidencia")</f>
        <v>#REF!</v>
      </c>
      <c r="C231" s="8" t="e">
        <f>IF(Incidencias!#REF!="Mejora","NA",IF(OR(Incidencias!#REF!="Abierta",Incidencias!#REF!="En proceso",Incidencias!#REF!="Info cliente")=TRUE,"En curso",IF(Incidencias!#REF!="Descartada","Descartada","Entregada")))</f>
        <v>#REF!</v>
      </c>
      <c r="D231" s="8" t="e">
        <f>IF(C231="En curso",
IF(Incidencias!#REF!="Sí","Bloqueante",
IF(Incidencias!#REF!="No","No bloqueante","NA")),"NA")</f>
        <v>#REF!</v>
      </c>
      <c r="E231" s="8" t="e">
        <f>IF(C231="En curso",
IF(Incidencias!#REF!="Usuario","Usuario",
IF(Incidencias!#REF!="Proceso","Proceso","NA")),"NA")</f>
        <v>#REF!</v>
      </c>
    </row>
    <row r="232" spans="1:5" x14ac:dyDescent="0.25">
      <c r="A232" s="19">
        <f>Incidencias!B297</f>
        <v>0</v>
      </c>
      <c r="B232" s="16" t="e">
        <f>IF(Incidencias!#REF!="Mejora","Mejora","Incidencia")</f>
        <v>#REF!</v>
      </c>
      <c r="C232" s="8" t="e">
        <f>IF(Incidencias!#REF!="Mejora","NA",IF(OR(Incidencias!#REF!="Abierta",Incidencias!#REF!="En proceso",Incidencias!#REF!="Info cliente")=TRUE,"En curso",IF(Incidencias!#REF!="Descartada","Descartada","Entregada")))</f>
        <v>#REF!</v>
      </c>
      <c r="D232" s="8" t="e">
        <f>IF(C232="En curso",
IF(Incidencias!#REF!="Sí","Bloqueante",
IF(Incidencias!#REF!="No","No bloqueante","NA")),"NA")</f>
        <v>#REF!</v>
      </c>
      <c r="E232" s="8" t="e">
        <f>IF(C232="En curso",
IF(Incidencias!#REF!="Usuario","Usuario",
IF(Incidencias!#REF!="Proceso","Proceso","NA")),"NA")</f>
        <v>#REF!</v>
      </c>
    </row>
    <row r="233" spans="1:5" x14ac:dyDescent="0.25">
      <c r="A233" s="19">
        <f>Incidencias!B298</f>
        <v>0</v>
      </c>
      <c r="B233" s="16" t="e">
        <f>IF(Incidencias!#REF!="Mejora","Mejora","Incidencia")</f>
        <v>#REF!</v>
      </c>
      <c r="C233" s="8" t="e">
        <f>IF(Incidencias!#REF!="Mejora","NA",IF(OR(Incidencias!#REF!="Abierta",Incidencias!#REF!="En proceso",Incidencias!#REF!="Info cliente")=TRUE,"En curso",IF(Incidencias!#REF!="Descartada","Descartada","Entregada")))</f>
        <v>#REF!</v>
      </c>
      <c r="D233" s="8" t="e">
        <f>IF(C233="En curso",
IF(Incidencias!#REF!="Sí","Bloqueante",
IF(Incidencias!#REF!="No","No bloqueante","NA")),"NA")</f>
        <v>#REF!</v>
      </c>
      <c r="E233" s="8" t="e">
        <f>IF(C233="En curso",
IF(Incidencias!#REF!="Usuario","Usuario",
IF(Incidencias!#REF!="Proceso","Proceso","NA")),"NA")</f>
        <v>#REF!</v>
      </c>
    </row>
    <row r="234" spans="1:5" x14ac:dyDescent="0.25">
      <c r="A234" s="19">
        <f>Incidencias!B299</f>
        <v>0</v>
      </c>
      <c r="B234" s="16" t="e">
        <f>IF(Incidencias!#REF!="Mejora","Mejora","Incidencia")</f>
        <v>#REF!</v>
      </c>
      <c r="C234" s="8" t="e">
        <f>IF(Incidencias!#REF!="Mejora","NA",IF(OR(Incidencias!#REF!="Abierta",Incidencias!#REF!="En proceso",Incidencias!#REF!="Info cliente")=TRUE,"En curso",IF(Incidencias!#REF!="Descartada","Descartada","Entregada")))</f>
        <v>#REF!</v>
      </c>
      <c r="D234" s="8" t="e">
        <f>IF(C234="En curso",
IF(Incidencias!#REF!="Sí","Bloqueante",
IF(Incidencias!#REF!="No","No bloqueante","NA")),"NA")</f>
        <v>#REF!</v>
      </c>
      <c r="E234" s="8" t="e">
        <f>IF(C234="En curso",
IF(Incidencias!#REF!="Usuario","Usuario",
IF(Incidencias!#REF!="Proceso","Proceso","NA")),"NA")</f>
        <v>#REF!</v>
      </c>
    </row>
    <row r="235" spans="1:5" x14ac:dyDescent="0.25">
      <c r="A235" s="19">
        <f>Incidencias!B300</f>
        <v>0</v>
      </c>
      <c r="B235" s="16" t="e">
        <f>IF(Incidencias!#REF!="Mejora","Mejora","Incidencia")</f>
        <v>#REF!</v>
      </c>
      <c r="C235" s="8" t="e">
        <f>IF(Incidencias!#REF!="Mejora","NA",IF(OR(Incidencias!#REF!="Abierta",Incidencias!#REF!="En proceso",Incidencias!#REF!="Info cliente")=TRUE,"En curso",IF(Incidencias!#REF!="Descartada","Descartada","Entregada")))</f>
        <v>#REF!</v>
      </c>
      <c r="D235" s="8" t="e">
        <f>IF(C235="En curso",
IF(Incidencias!#REF!="Sí","Bloqueante",
IF(Incidencias!#REF!="No","No bloqueante","NA")),"NA")</f>
        <v>#REF!</v>
      </c>
      <c r="E235" s="8" t="e">
        <f>IF(C235="En curso",
IF(Incidencias!#REF!="Usuario","Usuario",
IF(Incidencias!#REF!="Proceso","Proceso","NA")),"NA")</f>
        <v>#REF!</v>
      </c>
    </row>
    <row r="236" spans="1:5" x14ac:dyDescent="0.25">
      <c r="A236" s="19">
        <f>Incidencias!B301</f>
        <v>0</v>
      </c>
      <c r="B236" s="16" t="e">
        <f>IF(Incidencias!#REF!="Mejora","Mejora","Incidencia")</f>
        <v>#REF!</v>
      </c>
      <c r="C236" s="8" t="e">
        <f>IF(Incidencias!#REF!="Mejora","NA",IF(OR(Incidencias!#REF!="Abierta",Incidencias!#REF!="En proceso",Incidencias!#REF!="Info cliente")=TRUE,"En curso",IF(Incidencias!#REF!="Descartada","Descartada","Entregada")))</f>
        <v>#REF!</v>
      </c>
      <c r="D236" s="8" t="e">
        <f>IF(C236="En curso",
IF(Incidencias!#REF!="Sí","Bloqueante",
IF(Incidencias!#REF!="No","No bloqueante","NA")),"NA")</f>
        <v>#REF!</v>
      </c>
      <c r="E236" s="8" t="e">
        <f>IF(C236="En curso",
IF(Incidencias!#REF!="Usuario","Usuario",
IF(Incidencias!#REF!="Proceso","Proceso","NA")),"NA")</f>
        <v>#REF!</v>
      </c>
    </row>
    <row r="237" spans="1:5" x14ac:dyDescent="0.25">
      <c r="A237" s="19">
        <f>Incidencias!B302</f>
        <v>0</v>
      </c>
      <c r="B237" s="16" t="e">
        <f>IF(Incidencias!#REF!="Mejora","Mejora","Incidencia")</f>
        <v>#REF!</v>
      </c>
      <c r="C237" s="8" t="e">
        <f>IF(Incidencias!#REF!="Mejora","NA",IF(OR(Incidencias!#REF!="Abierta",Incidencias!#REF!="En proceso",Incidencias!#REF!="Info cliente")=TRUE,"En curso",IF(Incidencias!#REF!="Descartada","Descartada","Entregada")))</f>
        <v>#REF!</v>
      </c>
      <c r="D237" s="8" t="e">
        <f>IF(C237="En curso",
IF(Incidencias!#REF!="Sí","Bloqueante",
IF(Incidencias!#REF!="No","No bloqueante","NA")),"NA")</f>
        <v>#REF!</v>
      </c>
      <c r="E237" s="8" t="e">
        <f>IF(C237="En curso",
IF(Incidencias!#REF!="Usuario","Usuario",
IF(Incidencias!#REF!="Proceso","Proceso","NA")),"NA")</f>
        <v>#REF!</v>
      </c>
    </row>
    <row r="238" spans="1:5" x14ac:dyDescent="0.25">
      <c r="A238" s="19">
        <f>Incidencias!B303</f>
        <v>0</v>
      </c>
      <c r="B238" s="16" t="e">
        <f>IF(Incidencias!#REF!="Mejora","Mejora","Incidencia")</f>
        <v>#REF!</v>
      </c>
      <c r="C238" s="8" t="e">
        <f>IF(Incidencias!#REF!="Mejora","NA",IF(OR(Incidencias!#REF!="Abierta",Incidencias!#REF!="En proceso",Incidencias!#REF!="Info cliente")=TRUE,"En curso",IF(Incidencias!#REF!="Descartada","Descartada","Entregada")))</f>
        <v>#REF!</v>
      </c>
      <c r="D238" s="8" t="e">
        <f>IF(C238="En curso",
IF(Incidencias!#REF!="Sí","Bloqueante",
IF(Incidencias!#REF!="No","No bloqueante","NA")),"NA")</f>
        <v>#REF!</v>
      </c>
      <c r="E238" s="8" t="e">
        <f>IF(C238="En curso",
IF(Incidencias!#REF!="Usuario","Usuario",
IF(Incidencias!#REF!="Proceso","Proceso","NA")),"NA")</f>
        <v>#REF!</v>
      </c>
    </row>
    <row r="239" spans="1:5" x14ac:dyDescent="0.25">
      <c r="A239" s="19">
        <f>Incidencias!B304</f>
        <v>0</v>
      </c>
      <c r="B239" s="16" t="e">
        <f>IF(Incidencias!#REF!="Mejora","Mejora","Incidencia")</f>
        <v>#REF!</v>
      </c>
      <c r="C239" s="8" t="e">
        <f>IF(Incidencias!#REF!="Mejora","NA",IF(OR(Incidencias!#REF!="Abierta",Incidencias!#REF!="En proceso",Incidencias!#REF!="Info cliente")=TRUE,"En curso",IF(Incidencias!#REF!="Descartada","Descartada","Entregada")))</f>
        <v>#REF!</v>
      </c>
      <c r="D239" s="8" t="e">
        <f>IF(C239="En curso",
IF(Incidencias!#REF!="Sí","Bloqueante",
IF(Incidencias!#REF!="No","No bloqueante","NA")),"NA")</f>
        <v>#REF!</v>
      </c>
      <c r="E239" s="8" t="e">
        <f>IF(C239="En curso",
IF(Incidencias!#REF!="Usuario","Usuario",
IF(Incidencias!#REF!="Proceso","Proceso","NA")),"NA")</f>
        <v>#REF!</v>
      </c>
    </row>
    <row r="240" spans="1:5" x14ac:dyDescent="0.25">
      <c r="A240" s="19">
        <f>Incidencias!B305</f>
        <v>0</v>
      </c>
      <c r="B240" s="16" t="e">
        <f>IF(Incidencias!#REF!="Mejora","Mejora","Incidencia")</f>
        <v>#REF!</v>
      </c>
      <c r="C240" s="8" t="e">
        <f>IF(Incidencias!#REF!="Mejora","NA",IF(OR(Incidencias!#REF!="Abierta",Incidencias!#REF!="En proceso",Incidencias!#REF!="Info cliente")=TRUE,"En curso",IF(Incidencias!#REF!="Descartada","Descartada","Entregada")))</f>
        <v>#REF!</v>
      </c>
      <c r="D240" s="8" t="e">
        <f>IF(C240="En curso",
IF(Incidencias!#REF!="Sí","Bloqueante",
IF(Incidencias!#REF!="No","No bloqueante","NA")),"NA")</f>
        <v>#REF!</v>
      </c>
      <c r="E240" s="8" t="e">
        <f>IF(C240="En curso",
IF(Incidencias!#REF!="Usuario","Usuario",
IF(Incidencias!#REF!="Proceso","Proceso","NA")),"NA")</f>
        <v>#REF!</v>
      </c>
    </row>
    <row r="241" spans="1:5" x14ac:dyDescent="0.25">
      <c r="A241" s="19">
        <f>Incidencias!B306</f>
        <v>0</v>
      </c>
      <c r="B241" s="16" t="e">
        <f>IF(Incidencias!#REF!="Mejora","Mejora","Incidencia")</f>
        <v>#REF!</v>
      </c>
      <c r="C241" s="8" t="e">
        <f>IF(Incidencias!#REF!="Mejora","NA",IF(OR(Incidencias!#REF!="Abierta",Incidencias!#REF!="En proceso",Incidencias!#REF!="Info cliente")=TRUE,"En curso",IF(Incidencias!#REF!="Descartada","Descartada","Entregada")))</f>
        <v>#REF!</v>
      </c>
      <c r="D241" s="8" t="e">
        <f>IF(C241="En curso",
IF(Incidencias!#REF!="Sí","Bloqueante",
IF(Incidencias!#REF!="No","No bloqueante","NA")),"NA")</f>
        <v>#REF!</v>
      </c>
      <c r="E241" s="8" t="e">
        <f>IF(C241="En curso",
IF(Incidencias!#REF!="Usuario","Usuario",
IF(Incidencias!#REF!="Proceso","Proceso","NA")),"NA")</f>
        <v>#REF!</v>
      </c>
    </row>
    <row r="242" spans="1:5" x14ac:dyDescent="0.25">
      <c r="A242" s="19">
        <f>Incidencias!B307</f>
        <v>0</v>
      </c>
      <c r="B242" s="16" t="e">
        <f>IF(Incidencias!#REF!="Mejora","Mejora","Incidencia")</f>
        <v>#REF!</v>
      </c>
      <c r="C242" s="8" t="e">
        <f>IF(Incidencias!#REF!="Mejora","NA",IF(OR(Incidencias!#REF!="Abierta",Incidencias!#REF!="En proceso",Incidencias!#REF!="Info cliente")=TRUE,"En curso",IF(Incidencias!#REF!="Descartada","Descartada","Entregada")))</f>
        <v>#REF!</v>
      </c>
      <c r="D242" s="8" t="e">
        <f>IF(C242="En curso",
IF(Incidencias!#REF!="Sí","Bloqueante",
IF(Incidencias!#REF!="No","No bloqueante","NA")),"NA")</f>
        <v>#REF!</v>
      </c>
      <c r="E242" s="8" t="e">
        <f>IF(C242="En curso",
IF(Incidencias!#REF!="Usuario","Usuario",
IF(Incidencias!#REF!="Proceso","Proceso","NA")),"NA")</f>
        <v>#REF!</v>
      </c>
    </row>
    <row r="243" spans="1:5" x14ac:dyDescent="0.25">
      <c r="A243" s="19">
        <f>Incidencias!B308</f>
        <v>0</v>
      </c>
      <c r="B243" s="16" t="e">
        <f>IF(Incidencias!#REF!="Mejora","Mejora","Incidencia")</f>
        <v>#REF!</v>
      </c>
      <c r="C243" s="8" t="e">
        <f>IF(Incidencias!#REF!="Mejora","NA",IF(OR(Incidencias!#REF!="Abierta",Incidencias!#REF!="En proceso",Incidencias!#REF!="Info cliente")=TRUE,"En curso",IF(Incidencias!#REF!="Descartada","Descartada","Entregada")))</f>
        <v>#REF!</v>
      </c>
      <c r="D243" s="8" t="e">
        <f>IF(C243="En curso",
IF(Incidencias!#REF!="Sí","Bloqueante",
IF(Incidencias!#REF!="No","No bloqueante","NA")),"NA")</f>
        <v>#REF!</v>
      </c>
      <c r="E243" s="8" t="e">
        <f>IF(C243="En curso",
IF(Incidencias!#REF!="Usuario","Usuario",
IF(Incidencias!#REF!="Proceso","Proceso","NA")),"NA")</f>
        <v>#REF!</v>
      </c>
    </row>
    <row r="244" spans="1:5" x14ac:dyDescent="0.25">
      <c r="A244" s="19">
        <f>Incidencias!B309</f>
        <v>0</v>
      </c>
      <c r="B244" s="16" t="e">
        <f>IF(Incidencias!#REF!="Mejora","Mejora","Incidencia")</f>
        <v>#REF!</v>
      </c>
      <c r="C244" s="8" t="e">
        <f>IF(Incidencias!#REF!="Mejora","NA",IF(OR(Incidencias!#REF!="Abierta",Incidencias!#REF!="En proceso",Incidencias!#REF!="Info cliente")=TRUE,"En curso",IF(Incidencias!#REF!="Descartada","Descartada","Entregada")))</f>
        <v>#REF!</v>
      </c>
      <c r="D244" s="8" t="e">
        <f>IF(C244="En curso",
IF(Incidencias!#REF!="Sí","Bloqueante",
IF(Incidencias!#REF!="No","No bloqueante","NA")),"NA")</f>
        <v>#REF!</v>
      </c>
      <c r="E244" s="8" t="e">
        <f>IF(C244="En curso",
IF(Incidencias!#REF!="Usuario","Usuario",
IF(Incidencias!#REF!="Proceso","Proceso","NA")),"NA")</f>
        <v>#REF!</v>
      </c>
    </row>
    <row r="245" spans="1:5" x14ac:dyDescent="0.25">
      <c r="A245" s="19">
        <f>Incidencias!B310</f>
        <v>0</v>
      </c>
      <c r="B245" s="16" t="e">
        <f>IF(Incidencias!#REF!="Mejora","Mejora","Incidencia")</f>
        <v>#REF!</v>
      </c>
      <c r="C245" s="8" t="e">
        <f>IF(Incidencias!#REF!="Mejora","NA",IF(OR(Incidencias!#REF!="Abierta",Incidencias!#REF!="En proceso",Incidencias!#REF!="Info cliente")=TRUE,"En curso",IF(Incidencias!#REF!="Descartada","Descartada","Entregada")))</f>
        <v>#REF!</v>
      </c>
      <c r="D245" s="8" t="e">
        <f>IF(C245="En curso",
IF(Incidencias!#REF!="Sí","Bloqueante",
IF(Incidencias!#REF!="No","No bloqueante","NA")),"NA")</f>
        <v>#REF!</v>
      </c>
      <c r="E245" s="8" t="e">
        <f>IF(C245="En curso",
IF(Incidencias!#REF!="Usuario","Usuario",
IF(Incidencias!#REF!="Proceso","Proceso","NA")),"NA")</f>
        <v>#REF!</v>
      </c>
    </row>
    <row r="246" spans="1:5" x14ac:dyDescent="0.25">
      <c r="A246" s="19">
        <f>Incidencias!B311</f>
        <v>0</v>
      </c>
      <c r="B246" s="16" t="e">
        <f>IF(Incidencias!#REF!="Mejora","Mejora","Incidencia")</f>
        <v>#REF!</v>
      </c>
      <c r="C246" s="8" t="e">
        <f>IF(Incidencias!#REF!="Mejora","NA",IF(OR(Incidencias!#REF!="Abierta",Incidencias!#REF!="En proceso",Incidencias!#REF!="Info cliente")=TRUE,"En curso",IF(Incidencias!#REF!="Descartada","Descartada","Entregada")))</f>
        <v>#REF!</v>
      </c>
      <c r="D246" s="8" t="e">
        <f>IF(C246="En curso",
IF(Incidencias!#REF!="Sí","Bloqueante",
IF(Incidencias!#REF!="No","No bloqueante","NA")),"NA")</f>
        <v>#REF!</v>
      </c>
      <c r="E246" s="8" t="e">
        <f>IF(C246="En curso",
IF(Incidencias!#REF!="Usuario","Usuario",
IF(Incidencias!#REF!="Proceso","Proceso","NA")),"NA")</f>
        <v>#REF!</v>
      </c>
    </row>
    <row r="247" spans="1:5" x14ac:dyDescent="0.25">
      <c r="A247" s="19">
        <f>Incidencias!B312</f>
        <v>0</v>
      </c>
      <c r="B247" s="16" t="e">
        <f>IF(Incidencias!#REF!="Mejora","Mejora","Incidencia")</f>
        <v>#REF!</v>
      </c>
      <c r="C247" s="8" t="e">
        <f>IF(Incidencias!#REF!="Mejora","NA",IF(OR(Incidencias!#REF!="Abierta",Incidencias!#REF!="En proceso",Incidencias!#REF!="Info cliente")=TRUE,"En curso",IF(Incidencias!#REF!="Descartada","Descartada","Entregada")))</f>
        <v>#REF!</v>
      </c>
      <c r="D247" s="8" t="e">
        <f>IF(C247="En curso",
IF(Incidencias!#REF!="Sí","Bloqueante",
IF(Incidencias!#REF!="No","No bloqueante","NA")),"NA")</f>
        <v>#REF!</v>
      </c>
      <c r="E247" s="8" t="e">
        <f>IF(C247="En curso",
IF(Incidencias!#REF!="Usuario","Usuario",
IF(Incidencias!#REF!="Proceso","Proceso","NA")),"NA")</f>
        <v>#REF!</v>
      </c>
    </row>
    <row r="248" spans="1:5" x14ac:dyDescent="0.25">
      <c r="A248" s="19">
        <f>Incidencias!B313</f>
        <v>0</v>
      </c>
      <c r="B248" s="16" t="e">
        <f>IF(Incidencias!#REF!="Mejora","Mejora","Incidencia")</f>
        <v>#REF!</v>
      </c>
      <c r="C248" s="8" t="e">
        <f>IF(Incidencias!#REF!="Mejora","NA",IF(OR(Incidencias!#REF!="Abierta",Incidencias!#REF!="En proceso",Incidencias!#REF!="Info cliente")=TRUE,"En curso",IF(Incidencias!#REF!="Descartada","Descartada","Entregada")))</f>
        <v>#REF!</v>
      </c>
      <c r="D248" s="8" t="e">
        <f>IF(C248="En curso",
IF(Incidencias!#REF!="Sí","Bloqueante",
IF(Incidencias!#REF!="No","No bloqueante","NA")),"NA")</f>
        <v>#REF!</v>
      </c>
      <c r="E248" s="8" t="e">
        <f>IF(C248="En curso",
IF(Incidencias!#REF!="Usuario","Usuario",
IF(Incidencias!#REF!="Proceso","Proceso","NA")),"NA")</f>
        <v>#REF!</v>
      </c>
    </row>
    <row r="249" spans="1:5" x14ac:dyDescent="0.25">
      <c r="A249" s="19">
        <f>Incidencias!B314</f>
        <v>0</v>
      </c>
      <c r="B249" s="16" t="e">
        <f>IF(Incidencias!#REF!="Mejora","Mejora","Incidencia")</f>
        <v>#REF!</v>
      </c>
      <c r="C249" s="8" t="e">
        <f>IF(Incidencias!#REF!="Mejora","NA",IF(OR(Incidencias!#REF!="Abierta",Incidencias!#REF!="En proceso",Incidencias!#REF!="Info cliente")=TRUE,"En curso",IF(Incidencias!#REF!="Descartada","Descartada","Entregada")))</f>
        <v>#REF!</v>
      </c>
      <c r="D249" s="8" t="e">
        <f>IF(C249="En curso",
IF(Incidencias!#REF!="Sí","Bloqueante",
IF(Incidencias!#REF!="No","No bloqueante","NA")),"NA")</f>
        <v>#REF!</v>
      </c>
      <c r="E249" s="8" t="e">
        <f>IF(C249="En curso",
IF(Incidencias!#REF!="Usuario","Usuario",
IF(Incidencias!#REF!="Proceso","Proceso","NA")),"NA")</f>
        <v>#REF!</v>
      </c>
    </row>
    <row r="250" spans="1:5" x14ac:dyDescent="0.25">
      <c r="A250" s="19">
        <f>Incidencias!B315</f>
        <v>0</v>
      </c>
      <c r="B250" s="16" t="e">
        <f>IF(Incidencias!#REF!="Mejora","Mejora","Incidencia")</f>
        <v>#REF!</v>
      </c>
      <c r="C250" s="8" t="e">
        <f>IF(Incidencias!#REF!="Mejora","NA",IF(OR(Incidencias!#REF!="Abierta",Incidencias!#REF!="En proceso",Incidencias!#REF!="Info cliente")=TRUE,"En curso",IF(Incidencias!#REF!="Descartada","Descartada","Entregada")))</f>
        <v>#REF!</v>
      </c>
      <c r="D250" s="8" t="e">
        <f>IF(C250="En curso",
IF(Incidencias!#REF!="Sí","Bloqueante",
IF(Incidencias!#REF!="No","No bloqueante","NA")),"NA")</f>
        <v>#REF!</v>
      </c>
      <c r="E250" s="8" t="e">
        <f>IF(C250="En curso",
IF(Incidencias!#REF!="Usuario","Usuario",
IF(Incidencias!#REF!="Proceso","Proceso","NA")),"NA")</f>
        <v>#REF!</v>
      </c>
    </row>
    <row r="251" spans="1:5" x14ac:dyDescent="0.25">
      <c r="A251" s="19">
        <f>Incidencias!B316</f>
        <v>0</v>
      </c>
      <c r="B251" s="16" t="e">
        <f>IF(Incidencias!#REF!="Mejora","Mejora","Incidencia")</f>
        <v>#REF!</v>
      </c>
      <c r="C251" s="8" t="e">
        <f>IF(Incidencias!#REF!="Mejora","NA",IF(OR(Incidencias!#REF!="Abierta",Incidencias!#REF!="En proceso",Incidencias!#REF!="Info cliente")=TRUE,"En curso",IF(Incidencias!#REF!="Descartada","Descartada","Entregada")))</f>
        <v>#REF!</v>
      </c>
      <c r="D251" s="8" t="e">
        <f>IF(C251="En curso",
IF(Incidencias!#REF!="Sí","Bloqueante",
IF(Incidencias!#REF!="No","No bloqueante","NA")),"NA")</f>
        <v>#REF!</v>
      </c>
      <c r="E251" s="8" t="e">
        <f>IF(C251="En curso",
IF(Incidencias!#REF!="Usuario","Usuario",
IF(Incidencias!#REF!="Proceso","Proceso","NA")),"NA")</f>
        <v>#REF!</v>
      </c>
    </row>
    <row r="252" spans="1:5" x14ac:dyDescent="0.25">
      <c r="A252" s="19">
        <f>Incidencias!B317</f>
        <v>0</v>
      </c>
      <c r="B252" s="16" t="e">
        <f>IF(Incidencias!#REF!="Mejora","Mejora","Incidencia")</f>
        <v>#REF!</v>
      </c>
      <c r="C252" s="8" t="e">
        <f>IF(Incidencias!#REF!="Mejora","NA",IF(OR(Incidencias!#REF!="Abierta",Incidencias!#REF!="En proceso",Incidencias!#REF!="Info cliente")=TRUE,"En curso",IF(Incidencias!#REF!="Descartada","Descartada","Entregada")))</f>
        <v>#REF!</v>
      </c>
      <c r="D252" s="8" t="e">
        <f>IF(C252="En curso",
IF(Incidencias!#REF!="Sí","Bloqueante",
IF(Incidencias!#REF!="No","No bloqueante","NA")),"NA")</f>
        <v>#REF!</v>
      </c>
      <c r="E252" s="8" t="e">
        <f>IF(C252="En curso",
IF(Incidencias!#REF!="Usuario","Usuario",
IF(Incidencias!#REF!="Proceso","Proceso","NA")),"NA")</f>
        <v>#REF!</v>
      </c>
    </row>
    <row r="253" spans="1:5" x14ac:dyDescent="0.25">
      <c r="A253" s="19">
        <f>Incidencias!B318</f>
        <v>0</v>
      </c>
      <c r="B253" s="16" t="e">
        <f>IF(Incidencias!#REF!="Mejora","Mejora","Incidencia")</f>
        <v>#REF!</v>
      </c>
      <c r="C253" s="8" t="e">
        <f>IF(Incidencias!#REF!="Mejora","NA",IF(OR(Incidencias!#REF!="Abierta",Incidencias!#REF!="En proceso",Incidencias!#REF!="Info cliente")=TRUE,"En curso",IF(Incidencias!#REF!="Descartada","Descartada","Entregada")))</f>
        <v>#REF!</v>
      </c>
      <c r="D253" s="8" t="e">
        <f>IF(C253="En curso",
IF(Incidencias!#REF!="Sí","Bloqueante",
IF(Incidencias!#REF!="No","No bloqueante","NA")),"NA")</f>
        <v>#REF!</v>
      </c>
      <c r="E253" s="8" t="e">
        <f>IF(C253="En curso",
IF(Incidencias!#REF!="Usuario","Usuario",
IF(Incidencias!#REF!="Proceso","Proceso","NA")),"NA")</f>
        <v>#REF!</v>
      </c>
    </row>
    <row r="254" spans="1:5" x14ac:dyDescent="0.25">
      <c r="A254" s="19">
        <f>Incidencias!B319</f>
        <v>0</v>
      </c>
      <c r="B254" s="16" t="e">
        <f>IF(Incidencias!#REF!="Mejora","Mejora","Incidencia")</f>
        <v>#REF!</v>
      </c>
      <c r="C254" s="8" t="e">
        <f>IF(Incidencias!#REF!="Mejora","NA",IF(OR(Incidencias!#REF!="Abierta",Incidencias!#REF!="En proceso",Incidencias!#REF!="Info cliente")=TRUE,"En curso",IF(Incidencias!#REF!="Descartada","Descartada","Entregada")))</f>
        <v>#REF!</v>
      </c>
      <c r="D254" s="8" t="e">
        <f>IF(C254="En curso",
IF(Incidencias!#REF!="Sí","Bloqueante",
IF(Incidencias!#REF!="No","No bloqueante","NA")),"NA")</f>
        <v>#REF!</v>
      </c>
      <c r="E254" s="8" t="e">
        <f>IF(C254="En curso",
IF(Incidencias!#REF!="Usuario","Usuario",
IF(Incidencias!#REF!="Proceso","Proceso","NA")),"NA")</f>
        <v>#REF!</v>
      </c>
    </row>
    <row r="255" spans="1:5" x14ac:dyDescent="0.25">
      <c r="A255" s="19">
        <f>Incidencias!B320</f>
        <v>0</v>
      </c>
      <c r="B255" s="16" t="e">
        <f>IF(Incidencias!#REF!="Mejora","Mejora","Incidencia")</f>
        <v>#REF!</v>
      </c>
      <c r="C255" s="8" t="e">
        <f>IF(Incidencias!#REF!="Mejora","NA",IF(OR(Incidencias!#REF!="Abierta",Incidencias!#REF!="En proceso",Incidencias!#REF!="Info cliente")=TRUE,"En curso",IF(Incidencias!#REF!="Descartada","Descartada","Entregada")))</f>
        <v>#REF!</v>
      </c>
      <c r="D255" s="8" t="e">
        <f>IF(C255="En curso",
IF(Incidencias!#REF!="Sí","Bloqueante",
IF(Incidencias!#REF!="No","No bloqueante","NA")),"NA")</f>
        <v>#REF!</v>
      </c>
      <c r="E255" s="8" t="e">
        <f>IF(C255="En curso",
IF(Incidencias!#REF!="Usuario","Usuario",
IF(Incidencias!#REF!="Proceso","Proceso","NA")),"NA")</f>
        <v>#REF!</v>
      </c>
    </row>
    <row r="256" spans="1:5" x14ac:dyDescent="0.25">
      <c r="A256" s="19">
        <f>Incidencias!B321</f>
        <v>0</v>
      </c>
      <c r="B256" s="16" t="e">
        <f>IF(Incidencias!#REF!="Mejora","Mejora","Incidencia")</f>
        <v>#REF!</v>
      </c>
      <c r="C256" s="8" t="e">
        <f>IF(Incidencias!#REF!="Mejora","NA",IF(OR(Incidencias!#REF!="Abierta",Incidencias!#REF!="En proceso",Incidencias!#REF!="Info cliente")=TRUE,"En curso",IF(Incidencias!#REF!="Descartada","Descartada","Entregada")))</f>
        <v>#REF!</v>
      </c>
      <c r="D256" s="8" t="e">
        <f>IF(C256="En curso",
IF(Incidencias!#REF!="Sí","Bloqueante",
IF(Incidencias!#REF!="No","No bloqueante","NA")),"NA")</f>
        <v>#REF!</v>
      </c>
      <c r="E256" s="8" t="e">
        <f>IF(C256="En curso",
IF(Incidencias!#REF!="Usuario","Usuario",
IF(Incidencias!#REF!="Proceso","Proceso","NA")),"NA")</f>
        <v>#REF!</v>
      </c>
    </row>
    <row r="257" spans="1:5" x14ac:dyDescent="0.25">
      <c r="A257" s="19">
        <f>Incidencias!B322</f>
        <v>0</v>
      </c>
      <c r="B257" s="16" t="e">
        <f>IF(Incidencias!#REF!="Mejora","Mejora","Incidencia")</f>
        <v>#REF!</v>
      </c>
      <c r="C257" s="8" t="e">
        <f>IF(Incidencias!#REF!="Mejora","NA",IF(OR(Incidencias!#REF!="Abierta",Incidencias!#REF!="En proceso",Incidencias!#REF!="Info cliente")=TRUE,"En curso",IF(Incidencias!#REF!="Descartada","Descartada","Entregada")))</f>
        <v>#REF!</v>
      </c>
      <c r="D257" s="8" t="e">
        <f>IF(C257="En curso",
IF(Incidencias!#REF!="Sí","Bloqueante",
IF(Incidencias!#REF!="No","No bloqueante","NA")),"NA")</f>
        <v>#REF!</v>
      </c>
      <c r="E257" s="8" t="e">
        <f>IF(C257="En curso",
IF(Incidencias!#REF!="Usuario","Usuario",
IF(Incidencias!#REF!="Proceso","Proceso","NA")),"NA")</f>
        <v>#REF!</v>
      </c>
    </row>
    <row r="258" spans="1:5" x14ac:dyDescent="0.25">
      <c r="A258" s="19">
        <f>Incidencias!B323</f>
        <v>0</v>
      </c>
      <c r="B258" s="16" t="e">
        <f>IF(Incidencias!#REF!="Mejora","Mejora","Incidencia")</f>
        <v>#REF!</v>
      </c>
      <c r="C258" s="8" t="e">
        <f>IF(Incidencias!#REF!="Mejora","NA",IF(OR(Incidencias!#REF!="Abierta",Incidencias!#REF!="En proceso",Incidencias!#REF!="Info cliente")=TRUE,"En curso",IF(Incidencias!#REF!="Descartada","Descartada","Entregada")))</f>
        <v>#REF!</v>
      </c>
      <c r="D258" s="8" t="e">
        <f>IF(C258="En curso",
IF(Incidencias!#REF!="Sí","Bloqueante",
IF(Incidencias!#REF!="No","No bloqueante","NA")),"NA")</f>
        <v>#REF!</v>
      </c>
      <c r="E258" s="8" t="e">
        <f>IF(C258="En curso",
IF(Incidencias!#REF!="Usuario","Usuario",
IF(Incidencias!#REF!="Proceso","Proceso","NA")),"NA")</f>
        <v>#REF!</v>
      </c>
    </row>
    <row r="259" spans="1:5" x14ac:dyDescent="0.25">
      <c r="A259" s="19">
        <f>Incidencias!B324</f>
        <v>0</v>
      </c>
      <c r="B259" s="16" t="e">
        <f>IF(Incidencias!#REF!="Mejora","Mejora","Incidencia")</f>
        <v>#REF!</v>
      </c>
      <c r="C259" s="8" t="e">
        <f>IF(Incidencias!#REF!="Mejora","NA",IF(OR(Incidencias!#REF!="Abierta",Incidencias!#REF!="En proceso",Incidencias!#REF!="Info cliente")=TRUE,"En curso",IF(Incidencias!#REF!="Descartada","Descartada","Entregada")))</f>
        <v>#REF!</v>
      </c>
      <c r="D259" s="8" t="e">
        <f>IF(C259="En curso",
IF(Incidencias!#REF!="Sí","Bloqueante",
IF(Incidencias!#REF!="No","No bloqueante","NA")),"NA")</f>
        <v>#REF!</v>
      </c>
      <c r="E259" s="8" t="e">
        <f>IF(C259="En curso",
IF(Incidencias!#REF!="Usuario","Usuario",
IF(Incidencias!#REF!="Proceso","Proceso","NA")),"NA")</f>
        <v>#REF!</v>
      </c>
    </row>
    <row r="260" spans="1:5" x14ac:dyDescent="0.25">
      <c r="A260" s="19">
        <f>Incidencias!B325</f>
        <v>0</v>
      </c>
      <c r="B260" s="16" t="e">
        <f>IF(Incidencias!#REF!="Mejora","Mejora","Incidencia")</f>
        <v>#REF!</v>
      </c>
      <c r="C260" s="8" t="e">
        <f>IF(Incidencias!#REF!="Mejora","NA",IF(OR(Incidencias!#REF!="Abierta",Incidencias!#REF!="En proceso",Incidencias!#REF!="Info cliente")=TRUE,"En curso",IF(Incidencias!#REF!="Descartada","Descartada","Entregada")))</f>
        <v>#REF!</v>
      </c>
      <c r="D260" s="8" t="e">
        <f>IF(C260="En curso",
IF(Incidencias!#REF!="Sí","Bloqueante",
IF(Incidencias!#REF!="No","No bloqueante","NA")),"NA")</f>
        <v>#REF!</v>
      </c>
      <c r="E260" s="8" t="e">
        <f>IF(C260="En curso",
IF(Incidencias!#REF!="Usuario","Usuario",
IF(Incidencias!#REF!="Proceso","Proceso","NA")),"NA")</f>
        <v>#REF!</v>
      </c>
    </row>
    <row r="261" spans="1:5" x14ac:dyDescent="0.25">
      <c r="A261" s="19">
        <f>Incidencias!B326</f>
        <v>0</v>
      </c>
      <c r="B261" s="16" t="e">
        <f>IF(Incidencias!#REF!="Mejora","Mejora","Incidencia")</f>
        <v>#REF!</v>
      </c>
      <c r="C261" s="8" t="e">
        <f>IF(Incidencias!#REF!="Mejora","NA",IF(OR(Incidencias!#REF!="Abierta",Incidencias!#REF!="En proceso",Incidencias!#REF!="Info cliente")=TRUE,"En curso",IF(Incidencias!#REF!="Descartada","Descartada","Entregada")))</f>
        <v>#REF!</v>
      </c>
      <c r="D261" s="8" t="e">
        <f>IF(C261="En curso",
IF(Incidencias!#REF!="Sí","Bloqueante",
IF(Incidencias!#REF!="No","No bloqueante","NA")),"NA")</f>
        <v>#REF!</v>
      </c>
      <c r="E261" s="8" t="e">
        <f>IF(C261="En curso",
IF(Incidencias!#REF!="Usuario","Usuario",
IF(Incidencias!#REF!="Proceso","Proceso","NA")),"NA")</f>
        <v>#REF!</v>
      </c>
    </row>
    <row r="262" spans="1:5" x14ac:dyDescent="0.25">
      <c r="A262" s="19">
        <f>Incidencias!B327</f>
        <v>0</v>
      </c>
      <c r="B262" s="16" t="e">
        <f>IF(Incidencias!#REF!="Mejora","Mejora","Incidencia")</f>
        <v>#REF!</v>
      </c>
      <c r="C262" s="8" t="e">
        <f>IF(Incidencias!#REF!="Mejora","NA",IF(OR(Incidencias!#REF!="Abierta",Incidencias!#REF!="En proceso",Incidencias!#REF!="Info cliente")=TRUE,"En curso",IF(Incidencias!#REF!="Descartada","Descartada","Entregada")))</f>
        <v>#REF!</v>
      </c>
      <c r="D262" s="8" t="e">
        <f>IF(C262="En curso",
IF(Incidencias!#REF!="Sí","Bloqueante",
IF(Incidencias!#REF!="No","No bloqueante","NA")),"NA")</f>
        <v>#REF!</v>
      </c>
      <c r="E262" s="8" t="e">
        <f>IF(C262="En curso",
IF(Incidencias!#REF!="Usuario","Usuario",
IF(Incidencias!#REF!="Proceso","Proceso","NA")),"NA")</f>
        <v>#REF!</v>
      </c>
    </row>
    <row r="263" spans="1:5" x14ac:dyDescent="0.25">
      <c r="A263" s="19">
        <f>Incidencias!B328</f>
        <v>0</v>
      </c>
      <c r="B263" s="16" t="e">
        <f>IF(Incidencias!#REF!="Mejora","Mejora","Incidencia")</f>
        <v>#REF!</v>
      </c>
      <c r="C263" s="8" t="e">
        <f>IF(Incidencias!#REF!="Mejora","NA",IF(OR(Incidencias!#REF!="Abierta",Incidencias!#REF!="En proceso",Incidencias!#REF!="Info cliente")=TRUE,"En curso",IF(Incidencias!#REF!="Descartada","Descartada","Entregada")))</f>
        <v>#REF!</v>
      </c>
      <c r="D263" s="8" t="e">
        <f>IF(C263="En curso",
IF(Incidencias!#REF!="Sí","Bloqueante",
IF(Incidencias!#REF!="No","No bloqueante","NA")),"NA")</f>
        <v>#REF!</v>
      </c>
      <c r="E263" s="8" t="e">
        <f>IF(C263="En curso",
IF(Incidencias!#REF!="Usuario","Usuario",
IF(Incidencias!#REF!="Proceso","Proceso","NA")),"NA")</f>
        <v>#REF!</v>
      </c>
    </row>
    <row r="264" spans="1:5" x14ac:dyDescent="0.25">
      <c r="A264" s="19">
        <f>Incidencias!B329</f>
        <v>0</v>
      </c>
      <c r="B264" s="16" t="e">
        <f>IF(Incidencias!#REF!="Mejora","Mejora","Incidencia")</f>
        <v>#REF!</v>
      </c>
      <c r="C264" s="8" t="e">
        <f>IF(Incidencias!#REF!="Mejora","NA",IF(OR(Incidencias!#REF!="Abierta",Incidencias!#REF!="En proceso",Incidencias!#REF!="Info cliente")=TRUE,"En curso",IF(Incidencias!#REF!="Descartada","Descartada","Entregada")))</f>
        <v>#REF!</v>
      </c>
      <c r="D264" s="8" t="e">
        <f>IF(C264="En curso",
IF(Incidencias!#REF!="Sí","Bloqueante",
IF(Incidencias!#REF!="No","No bloqueante","NA")),"NA")</f>
        <v>#REF!</v>
      </c>
      <c r="E264" s="8" t="e">
        <f>IF(C264="En curso",
IF(Incidencias!#REF!="Usuario","Usuario",
IF(Incidencias!#REF!="Proceso","Proceso","NA")),"NA")</f>
        <v>#REF!</v>
      </c>
    </row>
    <row r="265" spans="1:5" x14ac:dyDescent="0.25">
      <c r="A265" s="19">
        <f>Incidencias!B330</f>
        <v>0</v>
      </c>
      <c r="B265" s="16" t="e">
        <f>IF(Incidencias!#REF!="Mejora","Mejora","Incidencia")</f>
        <v>#REF!</v>
      </c>
      <c r="C265" s="8" t="e">
        <f>IF(Incidencias!#REF!="Mejora","NA",IF(OR(Incidencias!#REF!="Abierta",Incidencias!#REF!="En proceso",Incidencias!#REF!="Info cliente")=TRUE,"En curso",IF(Incidencias!#REF!="Descartada","Descartada","Entregada")))</f>
        <v>#REF!</v>
      </c>
      <c r="D265" s="8" t="e">
        <f>IF(C265="En curso",
IF(Incidencias!#REF!="Sí","Bloqueante",
IF(Incidencias!#REF!="No","No bloqueante","NA")),"NA")</f>
        <v>#REF!</v>
      </c>
      <c r="E265" s="8" t="e">
        <f>IF(C265="En curso",
IF(Incidencias!#REF!="Usuario","Usuario",
IF(Incidencias!#REF!="Proceso","Proceso","NA")),"NA")</f>
        <v>#REF!</v>
      </c>
    </row>
    <row r="266" spans="1:5" x14ac:dyDescent="0.25">
      <c r="A266" s="19">
        <f>Incidencias!B331</f>
        <v>0</v>
      </c>
      <c r="B266" s="16" t="e">
        <f>IF(Incidencias!#REF!="Mejora","Mejora","Incidencia")</f>
        <v>#REF!</v>
      </c>
      <c r="C266" s="8" t="e">
        <f>IF(Incidencias!#REF!="Mejora","NA",IF(OR(Incidencias!#REF!="Abierta",Incidencias!#REF!="En proceso",Incidencias!#REF!="Info cliente")=TRUE,"En curso",IF(Incidencias!#REF!="Descartada","Descartada","Entregada")))</f>
        <v>#REF!</v>
      </c>
      <c r="D266" s="8" t="e">
        <f>IF(C266="En curso",
IF(Incidencias!#REF!="Sí","Bloqueante",
IF(Incidencias!#REF!="No","No bloqueante","NA")),"NA")</f>
        <v>#REF!</v>
      </c>
      <c r="E266" s="8" t="e">
        <f>IF(C266="En curso",
IF(Incidencias!#REF!="Usuario","Usuario",
IF(Incidencias!#REF!="Proceso","Proceso","NA")),"NA")</f>
        <v>#REF!</v>
      </c>
    </row>
    <row r="267" spans="1:5" x14ac:dyDescent="0.25">
      <c r="A267" s="19">
        <f>Incidencias!B332</f>
        <v>0</v>
      </c>
      <c r="B267" s="16" t="e">
        <f>IF(Incidencias!#REF!="Mejora","Mejora","Incidencia")</f>
        <v>#REF!</v>
      </c>
      <c r="C267" s="8" t="e">
        <f>IF(Incidencias!#REF!="Mejora","NA",IF(OR(Incidencias!#REF!="Abierta",Incidencias!#REF!="En proceso",Incidencias!#REF!="Info cliente")=TRUE,"En curso",IF(Incidencias!#REF!="Descartada","Descartada","Entregada")))</f>
        <v>#REF!</v>
      </c>
      <c r="D267" s="8" t="e">
        <f>IF(C267="En curso",
IF(Incidencias!#REF!="Sí","Bloqueante",
IF(Incidencias!#REF!="No","No bloqueante","NA")),"NA")</f>
        <v>#REF!</v>
      </c>
      <c r="E267" s="8" t="e">
        <f>IF(C267="En curso",
IF(Incidencias!#REF!="Usuario","Usuario",
IF(Incidencias!#REF!="Proceso","Proceso","NA")),"NA")</f>
        <v>#REF!</v>
      </c>
    </row>
    <row r="268" spans="1:5" x14ac:dyDescent="0.25">
      <c r="A268" s="19">
        <f>Incidencias!B333</f>
        <v>0</v>
      </c>
      <c r="B268" s="16" t="e">
        <f>IF(Incidencias!#REF!="Mejora","Mejora","Incidencia")</f>
        <v>#REF!</v>
      </c>
      <c r="C268" s="8" t="e">
        <f>IF(Incidencias!#REF!="Mejora","NA",IF(OR(Incidencias!#REF!="Abierta",Incidencias!#REF!="En proceso",Incidencias!#REF!="Info cliente")=TRUE,"En curso",IF(Incidencias!#REF!="Descartada","Descartada","Entregada")))</f>
        <v>#REF!</v>
      </c>
      <c r="D268" s="8" t="e">
        <f>IF(C268="En curso",
IF(Incidencias!#REF!="Sí","Bloqueante",
IF(Incidencias!#REF!="No","No bloqueante","NA")),"NA")</f>
        <v>#REF!</v>
      </c>
      <c r="E268" s="8" t="e">
        <f>IF(C268="En curso",
IF(Incidencias!#REF!="Usuario","Usuario",
IF(Incidencias!#REF!="Proceso","Proceso","NA")),"NA")</f>
        <v>#REF!</v>
      </c>
    </row>
    <row r="269" spans="1:5" x14ac:dyDescent="0.25">
      <c r="A269" s="19">
        <f>Incidencias!B334</f>
        <v>0</v>
      </c>
      <c r="B269" s="16" t="e">
        <f>IF(Incidencias!#REF!="Mejora","Mejora","Incidencia")</f>
        <v>#REF!</v>
      </c>
      <c r="C269" s="8" t="e">
        <f>IF(Incidencias!#REF!="Mejora","NA",IF(OR(Incidencias!#REF!="Abierta",Incidencias!#REF!="En proceso",Incidencias!#REF!="Info cliente")=TRUE,"En curso",IF(Incidencias!#REF!="Descartada","Descartada","Entregada")))</f>
        <v>#REF!</v>
      </c>
      <c r="D269" s="8" t="e">
        <f>IF(C269="En curso",
IF(Incidencias!#REF!="Sí","Bloqueante",
IF(Incidencias!#REF!="No","No bloqueante","NA")),"NA")</f>
        <v>#REF!</v>
      </c>
      <c r="E269" s="8" t="e">
        <f>IF(C269="En curso",
IF(Incidencias!#REF!="Usuario","Usuario",
IF(Incidencias!#REF!="Proceso","Proceso","NA")),"NA")</f>
        <v>#REF!</v>
      </c>
    </row>
    <row r="270" spans="1:5" x14ac:dyDescent="0.25">
      <c r="A270" s="19">
        <f>Incidencias!B335</f>
        <v>0</v>
      </c>
      <c r="B270" s="16" t="e">
        <f>IF(Incidencias!#REF!="Mejora","Mejora","Incidencia")</f>
        <v>#REF!</v>
      </c>
      <c r="C270" s="8" t="e">
        <f>IF(Incidencias!#REF!="Mejora","NA",IF(OR(Incidencias!#REF!="Abierta",Incidencias!#REF!="En proceso",Incidencias!#REF!="Info cliente")=TRUE,"En curso",IF(Incidencias!#REF!="Descartada","Descartada","Entregada")))</f>
        <v>#REF!</v>
      </c>
      <c r="D270" s="8" t="e">
        <f>IF(C270="En curso",
IF(Incidencias!#REF!="Sí","Bloqueante",
IF(Incidencias!#REF!="No","No bloqueante","NA")),"NA")</f>
        <v>#REF!</v>
      </c>
      <c r="E270" s="8" t="e">
        <f>IF(C270="En curso",
IF(Incidencias!#REF!="Usuario","Usuario",
IF(Incidencias!#REF!="Proceso","Proceso","NA")),"NA")</f>
        <v>#REF!</v>
      </c>
    </row>
    <row r="271" spans="1:5" x14ac:dyDescent="0.25">
      <c r="A271" s="19">
        <f>Incidencias!B336</f>
        <v>0</v>
      </c>
      <c r="B271" s="16" t="e">
        <f>IF(Incidencias!#REF!="Mejora","Mejora","Incidencia")</f>
        <v>#REF!</v>
      </c>
      <c r="C271" s="8" t="e">
        <f>IF(Incidencias!#REF!="Mejora","NA",IF(OR(Incidencias!#REF!="Abierta",Incidencias!#REF!="En proceso",Incidencias!#REF!="Info cliente")=TRUE,"En curso",IF(Incidencias!#REF!="Descartada","Descartada","Entregada")))</f>
        <v>#REF!</v>
      </c>
      <c r="D271" s="8" t="e">
        <f>IF(C271="En curso",
IF(Incidencias!#REF!="Sí","Bloqueante",
IF(Incidencias!#REF!="No","No bloqueante","NA")),"NA")</f>
        <v>#REF!</v>
      </c>
      <c r="E271" s="8" t="e">
        <f>IF(C271="En curso",
IF(Incidencias!#REF!="Usuario","Usuario",
IF(Incidencias!#REF!="Proceso","Proceso","NA")),"NA")</f>
        <v>#REF!</v>
      </c>
    </row>
    <row r="272" spans="1:5" x14ac:dyDescent="0.25">
      <c r="A272" s="19">
        <f>Incidencias!B337</f>
        <v>0</v>
      </c>
      <c r="B272" s="16" t="e">
        <f>IF(Incidencias!#REF!="Mejora","Mejora","Incidencia")</f>
        <v>#REF!</v>
      </c>
      <c r="C272" s="8" t="e">
        <f>IF(Incidencias!#REF!="Mejora","NA",IF(OR(Incidencias!#REF!="Abierta",Incidencias!#REF!="En proceso",Incidencias!#REF!="Info cliente")=TRUE,"En curso",IF(Incidencias!#REF!="Descartada","Descartada","Entregada")))</f>
        <v>#REF!</v>
      </c>
      <c r="D272" s="8" t="e">
        <f>IF(C272="En curso",
IF(Incidencias!#REF!="Sí","Bloqueante",
IF(Incidencias!#REF!="No","No bloqueante","NA")),"NA")</f>
        <v>#REF!</v>
      </c>
      <c r="E272" s="8" t="e">
        <f>IF(C272="En curso",
IF(Incidencias!#REF!="Usuario","Usuario",
IF(Incidencias!#REF!="Proceso","Proceso","NA")),"NA")</f>
        <v>#REF!</v>
      </c>
    </row>
    <row r="273" spans="1:5" x14ac:dyDescent="0.25">
      <c r="A273" s="19">
        <f>Incidencias!B338</f>
        <v>0</v>
      </c>
      <c r="B273" s="16" t="e">
        <f>IF(Incidencias!#REF!="Mejora","Mejora","Incidencia")</f>
        <v>#REF!</v>
      </c>
      <c r="C273" s="8" t="e">
        <f>IF(Incidencias!#REF!="Mejora","NA",IF(OR(Incidencias!#REF!="Abierta",Incidencias!#REF!="En proceso",Incidencias!#REF!="Info cliente")=TRUE,"En curso",IF(Incidencias!#REF!="Descartada","Descartada","Entregada")))</f>
        <v>#REF!</v>
      </c>
      <c r="D273" s="8" t="e">
        <f>IF(C273="En curso",
IF(Incidencias!#REF!="Sí","Bloqueante",
IF(Incidencias!#REF!="No","No bloqueante","NA")),"NA")</f>
        <v>#REF!</v>
      </c>
      <c r="E273" s="8" t="e">
        <f>IF(C273="En curso",
IF(Incidencias!#REF!="Usuario","Usuario",
IF(Incidencias!#REF!="Proceso","Proceso","NA")),"NA")</f>
        <v>#REF!</v>
      </c>
    </row>
    <row r="274" spans="1:5" x14ac:dyDescent="0.25">
      <c r="A274" s="19">
        <f>Incidencias!B339</f>
        <v>0</v>
      </c>
      <c r="B274" s="16" t="e">
        <f>IF(Incidencias!#REF!="Mejora","Mejora","Incidencia")</f>
        <v>#REF!</v>
      </c>
      <c r="C274" s="8" t="e">
        <f>IF(Incidencias!#REF!="Mejora","NA",IF(OR(Incidencias!#REF!="Abierta",Incidencias!#REF!="En proceso",Incidencias!#REF!="Info cliente")=TRUE,"En curso",IF(Incidencias!#REF!="Descartada","Descartada","Entregada")))</f>
        <v>#REF!</v>
      </c>
      <c r="D274" s="8" t="e">
        <f>IF(C274="En curso",
IF(Incidencias!#REF!="Sí","Bloqueante",
IF(Incidencias!#REF!="No","No bloqueante","NA")),"NA")</f>
        <v>#REF!</v>
      </c>
      <c r="E274" s="8" t="e">
        <f>IF(C274="En curso",
IF(Incidencias!#REF!="Usuario","Usuario",
IF(Incidencias!#REF!="Proceso","Proceso","NA")),"NA")</f>
        <v>#REF!</v>
      </c>
    </row>
    <row r="275" spans="1:5" x14ac:dyDescent="0.25">
      <c r="A275" s="19">
        <f>Incidencias!B340</f>
        <v>0</v>
      </c>
      <c r="B275" s="16" t="e">
        <f>IF(Incidencias!#REF!="Mejora","Mejora","Incidencia")</f>
        <v>#REF!</v>
      </c>
      <c r="C275" s="8" t="e">
        <f>IF(Incidencias!#REF!="Mejora","NA",IF(OR(Incidencias!#REF!="Abierta",Incidencias!#REF!="En proceso",Incidencias!#REF!="Info cliente")=TRUE,"En curso",IF(Incidencias!#REF!="Descartada","Descartada","Entregada")))</f>
        <v>#REF!</v>
      </c>
      <c r="D275" s="8" t="e">
        <f>IF(C275="En curso",
IF(Incidencias!#REF!="Sí","Bloqueante",
IF(Incidencias!#REF!="No","No bloqueante","NA")),"NA")</f>
        <v>#REF!</v>
      </c>
      <c r="E275" s="8" t="e">
        <f>IF(C275="En curso",
IF(Incidencias!#REF!="Usuario","Usuario",
IF(Incidencias!#REF!="Proceso","Proceso","NA")),"NA")</f>
        <v>#REF!</v>
      </c>
    </row>
    <row r="276" spans="1:5" x14ac:dyDescent="0.25">
      <c r="A276" s="19">
        <f>Incidencias!B341</f>
        <v>0</v>
      </c>
      <c r="B276" s="16" t="e">
        <f>IF(Incidencias!#REF!="Mejora","Mejora","Incidencia")</f>
        <v>#REF!</v>
      </c>
      <c r="C276" s="8" t="e">
        <f>IF(Incidencias!#REF!="Mejora","NA",IF(OR(Incidencias!#REF!="Abierta",Incidencias!#REF!="En proceso",Incidencias!#REF!="Info cliente")=TRUE,"En curso",IF(Incidencias!#REF!="Descartada","Descartada","Entregada")))</f>
        <v>#REF!</v>
      </c>
      <c r="D276" s="8" t="e">
        <f>IF(C276="En curso",
IF(Incidencias!#REF!="Sí","Bloqueante",
IF(Incidencias!#REF!="No","No bloqueante","NA")),"NA")</f>
        <v>#REF!</v>
      </c>
      <c r="E276" s="8" t="e">
        <f>IF(C276="En curso",
IF(Incidencias!#REF!="Usuario","Usuario",
IF(Incidencias!#REF!="Proceso","Proceso","NA")),"NA")</f>
        <v>#REF!</v>
      </c>
    </row>
    <row r="277" spans="1:5" x14ac:dyDescent="0.25">
      <c r="A277" s="19">
        <f>Incidencias!B342</f>
        <v>0</v>
      </c>
      <c r="B277" s="16" t="e">
        <f>IF(Incidencias!#REF!="Mejora","Mejora","Incidencia")</f>
        <v>#REF!</v>
      </c>
      <c r="C277" s="8" t="e">
        <f>IF(Incidencias!#REF!="Mejora","NA",IF(OR(Incidencias!#REF!="Abierta",Incidencias!#REF!="En proceso",Incidencias!#REF!="Info cliente")=TRUE,"En curso",IF(Incidencias!#REF!="Descartada","Descartada","Entregada")))</f>
        <v>#REF!</v>
      </c>
      <c r="D277" s="8" t="e">
        <f>IF(C277="En curso",
IF(Incidencias!#REF!="Sí","Bloqueante",
IF(Incidencias!#REF!="No","No bloqueante","NA")),"NA")</f>
        <v>#REF!</v>
      </c>
      <c r="E277" s="8" t="e">
        <f>IF(C277="En curso",
IF(Incidencias!#REF!="Usuario","Usuario",
IF(Incidencias!#REF!="Proceso","Proceso","NA")),"NA")</f>
        <v>#REF!</v>
      </c>
    </row>
    <row r="278" spans="1:5" x14ac:dyDescent="0.25">
      <c r="A278" s="19">
        <f>Incidencias!B343</f>
        <v>0</v>
      </c>
      <c r="B278" s="16" t="e">
        <f>IF(Incidencias!#REF!="Mejora","Mejora","Incidencia")</f>
        <v>#REF!</v>
      </c>
      <c r="C278" s="8" t="e">
        <f>IF(Incidencias!#REF!="Mejora","NA",IF(OR(Incidencias!#REF!="Abierta",Incidencias!#REF!="En proceso",Incidencias!#REF!="Info cliente")=TRUE,"En curso",IF(Incidencias!#REF!="Descartada","Descartada","Entregada")))</f>
        <v>#REF!</v>
      </c>
      <c r="D278" s="8" t="e">
        <f>IF(C278="En curso",
IF(Incidencias!#REF!="Sí","Bloqueante",
IF(Incidencias!#REF!="No","No bloqueante","NA")),"NA")</f>
        <v>#REF!</v>
      </c>
      <c r="E278" s="8" t="e">
        <f>IF(C278="En curso",
IF(Incidencias!#REF!="Usuario","Usuario",
IF(Incidencias!#REF!="Proceso","Proceso","NA")),"NA")</f>
        <v>#REF!</v>
      </c>
    </row>
    <row r="279" spans="1:5" x14ac:dyDescent="0.25">
      <c r="A279" s="19">
        <f>Incidencias!B344</f>
        <v>0</v>
      </c>
      <c r="B279" s="16" t="e">
        <f>IF(Incidencias!#REF!="Mejora","Mejora","Incidencia")</f>
        <v>#REF!</v>
      </c>
      <c r="C279" s="8" t="e">
        <f>IF(Incidencias!#REF!="Mejora","NA",IF(OR(Incidencias!#REF!="Abierta",Incidencias!#REF!="En proceso",Incidencias!#REF!="Info cliente")=TRUE,"En curso",IF(Incidencias!#REF!="Descartada","Descartada","Entregada")))</f>
        <v>#REF!</v>
      </c>
      <c r="D279" s="8" t="e">
        <f>IF(C279="En curso",
IF(Incidencias!#REF!="Sí","Bloqueante",
IF(Incidencias!#REF!="No","No bloqueante","NA")),"NA")</f>
        <v>#REF!</v>
      </c>
      <c r="E279" s="8" t="e">
        <f>IF(C279="En curso",
IF(Incidencias!#REF!="Usuario","Usuario",
IF(Incidencias!#REF!="Proceso","Proceso","NA")),"NA")</f>
        <v>#REF!</v>
      </c>
    </row>
    <row r="280" spans="1:5" x14ac:dyDescent="0.25">
      <c r="A280" s="19">
        <f>Incidencias!B345</f>
        <v>0</v>
      </c>
      <c r="B280" s="16" t="e">
        <f>IF(Incidencias!#REF!="Mejora","Mejora","Incidencia")</f>
        <v>#REF!</v>
      </c>
      <c r="C280" s="8" t="e">
        <f>IF(Incidencias!#REF!="Mejora","NA",IF(OR(Incidencias!#REF!="Abierta",Incidencias!#REF!="En proceso",Incidencias!#REF!="Info cliente")=TRUE,"En curso",IF(Incidencias!#REF!="Descartada","Descartada","Entregada")))</f>
        <v>#REF!</v>
      </c>
      <c r="D280" s="8" t="e">
        <f>IF(C280="En curso",
IF(Incidencias!#REF!="Sí","Bloqueante",
IF(Incidencias!#REF!="No","No bloqueante","NA")),"NA")</f>
        <v>#REF!</v>
      </c>
      <c r="E280" s="8" t="e">
        <f>IF(C280="En curso",
IF(Incidencias!#REF!="Usuario","Usuario",
IF(Incidencias!#REF!="Proceso","Proceso","NA")),"NA")</f>
        <v>#REF!</v>
      </c>
    </row>
    <row r="281" spans="1:5" x14ac:dyDescent="0.25">
      <c r="A281" s="19">
        <f>Incidencias!B346</f>
        <v>0</v>
      </c>
      <c r="B281" s="16" t="e">
        <f>IF(Incidencias!#REF!="Mejora","Mejora","Incidencia")</f>
        <v>#REF!</v>
      </c>
      <c r="C281" s="8" t="e">
        <f>IF(Incidencias!#REF!="Mejora","NA",IF(OR(Incidencias!#REF!="Abierta",Incidencias!#REF!="En proceso",Incidencias!#REF!="Info cliente")=TRUE,"En curso",IF(Incidencias!#REF!="Descartada","Descartada","Entregada")))</f>
        <v>#REF!</v>
      </c>
      <c r="D281" s="8" t="e">
        <f>IF(C281="En curso",
IF(Incidencias!#REF!="Sí","Bloqueante",
IF(Incidencias!#REF!="No","No bloqueante","NA")),"NA")</f>
        <v>#REF!</v>
      </c>
      <c r="E281" s="8" t="e">
        <f>IF(C281="En curso",
IF(Incidencias!#REF!="Usuario","Usuario",
IF(Incidencias!#REF!="Proceso","Proceso","NA")),"NA")</f>
        <v>#REF!</v>
      </c>
    </row>
    <row r="282" spans="1:5" x14ac:dyDescent="0.25">
      <c r="A282" s="19">
        <f>Incidencias!B347</f>
        <v>0</v>
      </c>
      <c r="B282" s="16" t="e">
        <f>IF(Incidencias!#REF!="Mejora","Mejora","Incidencia")</f>
        <v>#REF!</v>
      </c>
      <c r="C282" s="8" t="e">
        <f>IF(Incidencias!#REF!="Mejora","NA",IF(OR(Incidencias!#REF!="Abierta",Incidencias!#REF!="En proceso",Incidencias!#REF!="Info cliente")=TRUE,"En curso",IF(Incidencias!#REF!="Descartada","Descartada","Entregada")))</f>
        <v>#REF!</v>
      </c>
      <c r="D282" s="8" t="e">
        <f>IF(C282="En curso",
IF(Incidencias!#REF!="Sí","Bloqueante",
IF(Incidencias!#REF!="No","No bloqueante","NA")),"NA")</f>
        <v>#REF!</v>
      </c>
      <c r="E282" s="8" t="e">
        <f>IF(C282="En curso",
IF(Incidencias!#REF!="Usuario","Usuario",
IF(Incidencias!#REF!="Proceso","Proceso","NA")),"NA")</f>
        <v>#REF!</v>
      </c>
    </row>
    <row r="283" spans="1:5" x14ac:dyDescent="0.25">
      <c r="A283" s="19">
        <f>Incidencias!B348</f>
        <v>0</v>
      </c>
      <c r="B283" s="16" t="e">
        <f>IF(Incidencias!#REF!="Mejora","Mejora","Incidencia")</f>
        <v>#REF!</v>
      </c>
      <c r="C283" s="8" t="e">
        <f>IF(Incidencias!#REF!="Mejora","NA",IF(OR(Incidencias!#REF!="Abierta",Incidencias!#REF!="En proceso",Incidencias!#REF!="Info cliente")=TRUE,"En curso",IF(Incidencias!#REF!="Descartada","Descartada","Entregada")))</f>
        <v>#REF!</v>
      </c>
      <c r="D283" s="8" t="e">
        <f>IF(C283="En curso",
IF(Incidencias!#REF!="Sí","Bloqueante",
IF(Incidencias!#REF!="No","No bloqueante","NA")),"NA")</f>
        <v>#REF!</v>
      </c>
      <c r="E283" s="8" t="e">
        <f>IF(C283="En curso",
IF(Incidencias!#REF!="Usuario","Usuario",
IF(Incidencias!#REF!="Proceso","Proceso","NA")),"NA")</f>
        <v>#REF!</v>
      </c>
    </row>
    <row r="284" spans="1:5" x14ac:dyDescent="0.25">
      <c r="A284" s="19">
        <f>Incidencias!B349</f>
        <v>0</v>
      </c>
      <c r="B284" s="16" t="e">
        <f>IF(Incidencias!#REF!="Mejora","Mejora","Incidencia")</f>
        <v>#REF!</v>
      </c>
      <c r="C284" s="8" t="e">
        <f>IF(Incidencias!#REF!="Mejora","NA",IF(OR(Incidencias!#REF!="Abierta",Incidencias!#REF!="En proceso",Incidencias!#REF!="Info cliente")=TRUE,"En curso",IF(Incidencias!#REF!="Descartada","Descartada","Entregada")))</f>
        <v>#REF!</v>
      </c>
      <c r="D284" s="8" t="e">
        <f>IF(C284="En curso",
IF(Incidencias!#REF!="Sí","Bloqueante",
IF(Incidencias!#REF!="No","No bloqueante","NA")),"NA")</f>
        <v>#REF!</v>
      </c>
      <c r="E284" s="8" t="e">
        <f>IF(C284="En curso",
IF(Incidencias!#REF!="Usuario","Usuario",
IF(Incidencias!#REF!="Proceso","Proceso","NA")),"NA")</f>
        <v>#REF!</v>
      </c>
    </row>
    <row r="285" spans="1:5" x14ac:dyDescent="0.25">
      <c r="A285" s="19">
        <f>Incidencias!B350</f>
        <v>0</v>
      </c>
      <c r="B285" s="16" t="e">
        <f>IF(Incidencias!#REF!="Mejora","Mejora","Incidencia")</f>
        <v>#REF!</v>
      </c>
      <c r="C285" s="8" t="e">
        <f>IF(Incidencias!#REF!="Mejora","NA",IF(OR(Incidencias!#REF!="Abierta",Incidencias!#REF!="En proceso",Incidencias!#REF!="Info cliente")=TRUE,"En curso",IF(Incidencias!#REF!="Descartada","Descartada","Entregada")))</f>
        <v>#REF!</v>
      </c>
      <c r="D285" s="8" t="e">
        <f>IF(C285="En curso",
IF(Incidencias!#REF!="Sí","Bloqueante",
IF(Incidencias!#REF!="No","No bloqueante","NA")),"NA")</f>
        <v>#REF!</v>
      </c>
      <c r="E285" s="8" t="e">
        <f>IF(C285="En curso",
IF(Incidencias!#REF!="Usuario","Usuario",
IF(Incidencias!#REF!="Proceso","Proceso","NA")),"NA")</f>
        <v>#REF!</v>
      </c>
    </row>
    <row r="286" spans="1:5" x14ac:dyDescent="0.25">
      <c r="A286" s="19">
        <f>Incidencias!B351</f>
        <v>0</v>
      </c>
      <c r="B286" s="16" t="e">
        <f>IF(Incidencias!#REF!="Mejora","Mejora","Incidencia")</f>
        <v>#REF!</v>
      </c>
      <c r="C286" s="8" t="e">
        <f>IF(Incidencias!#REF!="Mejora","NA",IF(OR(Incidencias!#REF!="Abierta",Incidencias!#REF!="En proceso",Incidencias!#REF!="Info cliente")=TRUE,"En curso",IF(Incidencias!#REF!="Descartada","Descartada","Entregada")))</f>
        <v>#REF!</v>
      </c>
      <c r="D286" s="8" t="e">
        <f>IF(C286="En curso",
IF(Incidencias!#REF!="Sí","Bloqueante",
IF(Incidencias!#REF!="No","No bloqueante","NA")),"NA")</f>
        <v>#REF!</v>
      </c>
      <c r="E286" s="8" t="e">
        <f>IF(C286="En curso",
IF(Incidencias!#REF!="Usuario","Usuario",
IF(Incidencias!#REF!="Proceso","Proceso","NA")),"NA")</f>
        <v>#REF!</v>
      </c>
    </row>
    <row r="287" spans="1:5" x14ac:dyDescent="0.25">
      <c r="A287" s="19">
        <f>Incidencias!B352</f>
        <v>0</v>
      </c>
      <c r="B287" s="16" t="e">
        <f>IF(Incidencias!#REF!="Mejora","Mejora","Incidencia")</f>
        <v>#REF!</v>
      </c>
      <c r="C287" s="8" t="e">
        <f>IF(Incidencias!#REF!="Mejora","NA",IF(OR(Incidencias!#REF!="Abierta",Incidencias!#REF!="En proceso",Incidencias!#REF!="Info cliente")=TRUE,"En curso",IF(Incidencias!#REF!="Descartada","Descartada","Entregada")))</f>
        <v>#REF!</v>
      </c>
      <c r="D287" s="8" t="e">
        <f>IF(C287="En curso",
IF(Incidencias!#REF!="Sí","Bloqueante",
IF(Incidencias!#REF!="No","No bloqueante","NA")),"NA")</f>
        <v>#REF!</v>
      </c>
      <c r="E287" s="8" t="e">
        <f>IF(C287="En curso",
IF(Incidencias!#REF!="Usuario","Usuario",
IF(Incidencias!#REF!="Proceso","Proceso","NA")),"NA")</f>
        <v>#REF!</v>
      </c>
    </row>
    <row r="288" spans="1:5" x14ac:dyDescent="0.25">
      <c r="A288" s="19">
        <f>Incidencias!B353</f>
        <v>0</v>
      </c>
      <c r="B288" s="16" t="e">
        <f>IF(Incidencias!#REF!="Mejora","Mejora","Incidencia")</f>
        <v>#REF!</v>
      </c>
      <c r="C288" s="8" t="e">
        <f>IF(Incidencias!#REF!="Mejora","NA",IF(OR(Incidencias!#REF!="Abierta",Incidencias!#REF!="En proceso",Incidencias!#REF!="Info cliente")=TRUE,"En curso",IF(Incidencias!#REF!="Descartada","Descartada","Entregada")))</f>
        <v>#REF!</v>
      </c>
      <c r="D288" s="8" t="e">
        <f>IF(C288="En curso",
IF(Incidencias!#REF!="Sí","Bloqueante",
IF(Incidencias!#REF!="No","No bloqueante","NA")),"NA")</f>
        <v>#REF!</v>
      </c>
      <c r="E288" s="8" t="e">
        <f>IF(C288="En curso",
IF(Incidencias!#REF!="Usuario","Usuario",
IF(Incidencias!#REF!="Proceso","Proceso","NA")),"NA")</f>
        <v>#REF!</v>
      </c>
    </row>
    <row r="289" spans="1:5" x14ac:dyDescent="0.25">
      <c r="A289" s="19">
        <f>Incidencias!B354</f>
        <v>0</v>
      </c>
      <c r="B289" s="16" t="e">
        <f>IF(Incidencias!#REF!="Mejora","Mejora","Incidencia")</f>
        <v>#REF!</v>
      </c>
      <c r="C289" s="8" t="e">
        <f>IF(Incidencias!#REF!="Mejora","NA",IF(OR(Incidencias!#REF!="Abierta",Incidencias!#REF!="En proceso",Incidencias!#REF!="Info cliente")=TRUE,"En curso",IF(Incidencias!#REF!="Descartada","Descartada","Entregada")))</f>
        <v>#REF!</v>
      </c>
      <c r="D289" s="8" t="e">
        <f>IF(C289="En curso",
IF(Incidencias!#REF!="Sí","Bloqueante",
IF(Incidencias!#REF!="No","No bloqueante","NA")),"NA")</f>
        <v>#REF!</v>
      </c>
      <c r="E289" s="8" t="e">
        <f>IF(C289="En curso",
IF(Incidencias!#REF!="Usuario","Usuario",
IF(Incidencias!#REF!="Proceso","Proceso","NA")),"NA")</f>
        <v>#REF!</v>
      </c>
    </row>
    <row r="290" spans="1:5" x14ac:dyDescent="0.25">
      <c r="A290" s="19">
        <f>Incidencias!B355</f>
        <v>0</v>
      </c>
      <c r="B290" s="16" t="e">
        <f>IF(Incidencias!#REF!="Mejora","Mejora","Incidencia")</f>
        <v>#REF!</v>
      </c>
      <c r="C290" s="8" t="e">
        <f>IF(Incidencias!#REF!="Mejora","NA",IF(OR(Incidencias!#REF!="Abierta",Incidencias!#REF!="En proceso",Incidencias!#REF!="Info cliente")=TRUE,"En curso",IF(Incidencias!#REF!="Descartada","Descartada","Entregada")))</f>
        <v>#REF!</v>
      </c>
      <c r="D290" s="8" t="e">
        <f>IF(C290="En curso",
IF(Incidencias!#REF!="Sí","Bloqueante",
IF(Incidencias!#REF!="No","No bloqueante","NA")),"NA")</f>
        <v>#REF!</v>
      </c>
      <c r="E290" s="8" t="e">
        <f>IF(C290="En curso",
IF(Incidencias!#REF!="Usuario","Usuario",
IF(Incidencias!#REF!="Proceso","Proceso","NA")),"NA")</f>
        <v>#REF!</v>
      </c>
    </row>
    <row r="291" spans="1:5" x14ac:dyDescent="0.25">
      <c r="A291" s="19">
        <f>Incidencias!B356</f>
        <v>0</v>
      </c>
      <c r="B291" s="16" t="e">
        <f>IF(Incidencias!#REF!="Mejora","Mejora","Incidencia")</f>
        <v>#REF!</v>
      </c>
      <c r="C291" s="8" t="e">
        <f>IF(Incidencias!#REF!="Mejora","NA",IF(OR(Incidencias!#REF!="Abierta",Incidencias!#REF!="En proceso",Incidencias!#REF!="Info cliente")=TRUE,"En curso",IF(Incidencias!#REF!="Descartada","Descartada","Entregada")))</f>
        <v>#REF!</v>
      </c>
      <c r="D291" s="8" t="e">
        <f>IF(C291="En curso",
IF(Incidencias!#REF!="Sí","Bloqueante",
IF(Incidencias!#REF!="No","No bloqueante","NA")),"NA")</f>
        <v>#REF!</v>
      </c>
      <c r="E291" s="8" t="e">
        <f>IF(C291="En curso",
IF(Incidencias!#REF!="Usuario","Usuario",
IF(Incidencias!#REF!="Proceso","Proceso","NA")),"NA")</f>
        <v>#REF!</v>
      </c>
    </row>
    <row r="292" spans="1:5" x14ac:dyDescent="0.25">
      <c r="A292" s="19">
        <f>Incidencias!B357</f>
        <v>0</v>
      </c>
      <c r="B292" s="16" t="e">
        <f>IF(Incidencias!#REF!="Mejora","Mejora","Incidencia")</f>
        <v>#REF!</v>
      </c>
      <c r="C292" s="8" t="e">
        <f>IF(Incidencias!#REF!="Mejora","NA",IF(OR(Incidencias!#REF!="Abierta",Incidencias!#REF!="En proceso",Incidencias!#REF!="Info cliente")=TRUE,"En curso",IF(Incidencias!#REF!="Descartada","Descartada","Entregada")))</f>
        <v>#REF!</v>
      </c>
      <c r="D292" s="8" t="e">
        <f>IF(C292="En curso",
IF(Incidencias!#REF!="Sí","Bloqueante",
IF(Incidencias!#REF!="No","No bloqueante","NA")),"NA")</f>
        <v>#REF!</v>
      </c>
      <c r="E292" s="8" t="e">
        <f>IF(C292="En curso",
IF(Incidencias!#REF!="Usuario","Usuario",
IF(Incidencias!#REF!="Proceso","Proceso","NA")),"NA")</f>
        <v>#REF!</v>
      </c>
    </row>
    <row r="293" spans="1:5" x14ac:dyDescent="0.25">
      <c r="A293" s="19">
        <f>Incidencias!B358</f>
        <v>0</v>
      </c>
      <c r="B293" s="16" t="e">
        <f>IF(Incidencias!#REF!="Mejora","Mejora","Incidencia")</f>
        <v>#REF!</v>
      </c>
      <c r="C293" s="8" t="e">
        <f>IF(Incidencias!#REF!="Mejora","NA",IF(OR(Incidencias!#REF!="Abierta",Incidencias!#REF!="En proceso",Incidencias!#REF!="Info cliente")=TRUE,"En curso",IF(Incidencias!#REF!="Descartada","Descartada","Entregada")))</f>
        <v>#REF!</v>
      </c>
      <c r="D293" s="8" t="e">
        <f>IF(C293="En curso",
IF(Incidencias!#REF!="Sí","Bloqueante",
IF(Incidencias!#REF!="No","No bloqueante","NA")),"NA")</f>
        <v>#REF!</v>
      </c>
      <c r="E293" s="8" t="e">
        <f>IF(C293="En curso",
IF(Incidencias!#REF!="Usuario","Usuario",
IF(Incidencias!#REF!="Proceso","Proceso","NA")),"NA")</f>
        <v>#REF!</v>
      </c>
    </row>
    <row r="294" spans="1:5" x14ac:dyDescent="0.25">
      <c r="A294" s="19">
        <f>Incidencias!B359</f>
        <v>0</v>
      </c>
      <c r="B294" s="16" t="e">
        <f>IF(Incidencias!#REF!="Mejora","Mejora","Incidencia")</f>
        <v>#REF!</v>
      </c>
      <c r="C294" s="8" t="e">
        <f>IF(Incidencias!#REF!="Mejora","NA",IF(OR(Incidencias!#REF!="Abierta",Incidencias!#REF!="En proceso",Incidencias!#REF!="Info cliente")=TRUE,"En curso",IF(Incidencias!#REF!="Descartada","Descartada","Entregada")))</f>
        <v>#REF!</v>
      </c>
      <c r="D294" s="8" t="e">
        <f>IF(C294="En curso",
IF(Incidencias!#REF!="Sí","Bloqueante",
IF(Incidencias!#REF!="No","No bloqueante","NA")),"NA")</f>
        <v>#REF!</v>
      </c>
      <c r="E294" s="8" t="e">
        <f>IF(C294="En curso",
IF(Incidencias!#REF!="Usuario","Usuario",
IF(Incidencias!#REF!="Proceso","Proceso","NA")),"NA")</f>
        <v>#REF!</v>
      </c>
    </row>
    <row r="295" spans="1:5" x14ac:dyDescent="0.25">
      <c r="A295" s="19">
        <f>Incidencias!B360</f>
        <v>0</v>
      </c>
      <c r="B295" s="16" t="e">
        <f>IF(Incidencias!#REF!="Mejora","Mejora","Incidencia")</f>
        <v>#REF!</v>
      </c>
      <c r="C295" s="8" t="e">
        <f>IF(Incidencias!#REF!="Mejora","NA",IF(OR(Incidencias!#REF!="Abierta",Incidencias!#REF!="En proceso",Incidencias!#REF!="Info cliente")=TRUE,"En curso",IF(Incidencias!#REF!="Descartada","Descartada","Entregada")))</f>
        <v>#REF!</v>
      </c>
      <c r="D295" s="8" t="e">
        <f>IF(C295="En curso",
IF(Incidencias!#REF!="Sí","Bloqueante",
IF(Incidencias!#REF!="No","No bloqueante","NA")),"NA")</f>
        <v>#REF!</v>
      </c>
      <c r="E295" s="8" t="e">
        <f>IF(C295="En curso",
IF(Incidencias!#REF!="Usuario","Usuario",
IF(Incidencias!#REF!="Proceso","Proceso","NA")),"NA")</f>
        <v>#REF!</v>
      </c>
    </row>
    <row r="296" spans="1:5" x14ac:dyDescent="0.25">
      <c r="A296" s="19">
        <f>Incidencias!B361</f>
        <v>0</v>
      </c>
      <c r="B296" s="16" t="e">
        <f>IF(Incidencias!#REF!="Mejora","Mejora","Incidencia")</f>
        <v>#REF!</v>
      </c>
      <c r="C296" s="8" t="e">
        <f>IF(Incidencias!#REF!="Mejora","NA",IF(OR(Incidencias!#REF!="Abierta",Incidencias!#REF!="En proceso",Incidencias!#REF!="Info cliente")=TRUE,"En curso",IF(Incidencias!#REF!="Descartada","Descartada","Entregada")))</f>
        <v>#REF!</v>
      </c>
      <c r="D296" s="8" t="e">
        <f>IF(C296="En curso",
IF(Incidencias!#REF!="Sí","Bloqueante",
IF(Incidencias!#REF!="No","No bloqueante","NA")),"NA")</f>
        <v>#REF!</v>
      </c>
      <c r="E296" s="8" t="e">
        <f>IF(C296="En curso",
IF(Incidencias!#REF!="Usuario","Usuario",
IF(Incidencias!#REF!="Proceso","Proceso","NA")),"NA")</f>
        <v>#REF!</v>
      </c>
    </row>
    <row r="297" spans="1:5" x14ac:dyDescent="0.25">
      <c r="A297" s="19">
        <f>Incidencias!B362</f>
        <v>0</v>
      </c>
      <c r="B297" s="16" t="e">
        <f>IF(Incidencias!#REF!="Mejora","Mejora","Incidencia")</f>
        <v>#REF!</v>
      </c>
      <c r="C297" s="8" t="e">
        <f>IF(Incidencias!#REF!="Mejora","NA",IF(OR(Incidencias!#REF!="Abierta",Incidencias!#REF!="En proceso",Incidencias!#REF!="Info cliente")=TRUE,"En curso",IF(Incidencias!#REF!="Descartada","Descartada","Entregada")))</f>
        <v>#REF!</v>
      </c>
      <c r="D297" s="8" t="e">
        <f>IF(C297="En curso",
IF(Incidencias!#REF!="Sí","Bloqueante",
IF(Incidencias!#REF!="No","No bloqueante","NA")),"NA")</f>
        <v>#REF!</v>
      </c>
      <c r="E297" s="8" t="e">
        <f>IF(C297="En curso",
IF(Incidencias!#REF!="Usuario","Usuario",
IF(Incidencias!#REF!="Proceso","Proceso","NA")),"NA")</f>
        <v>#REF!</v>
      </c>
    </row>
    <row r="298" spans="1:5" x14ac:dyDescent="0.25">
      <c r="A298" s="19">
        <f>Incidencias!B363</f>
        <v>0</v>
      </c>
      <c r="B298" s="16" t="e">
        <f>IF(Incidencias!#REF!="Mejora","Mejora","Incidencia")</f>
        <v>#REF!</v>
      </c>
      <c r="C298" s="8" t="e">
        <f>IF(Incidencias!#REF!="Mejora","NA",IF(OR(Incidencias!#REF!="Abierta",Incidencias!#REF!="En proceso",Incidencias!#REF!="Info cliente")=TRUE,"En curso",IF(Incidencias!#REF!="Descartada","Descartada","Entregada")))</f>
        <v>#REF!</v>
      </c>
      <c r="D298" s="8" t="e">
        <f>IF(C298="En curso",
IF(Incidencias!#REF!="Sí","Bloqueante",
IF(Incidencias!#REF!="No","No bloqueante","NA")),"NA")</f>
        <v>#REF!</v>
      </c>
      <c r="E298" s="8" t="e">
        <f>IF(C298="En curso",
IF(Incidencias!#REF!="Usuario","Usuario",
IF(Incidencias!#REF!="Proceso","Proceso","NA")),"NA")</f>
        <v>#REF!</v>
      </c>
    </row>
    <row r="299" spans="1:5" x14ac:dyDescent="0.25">
      <c r="A299" s="19">
        <f>Incidencias!B364</f>
        <v>0</v>
      </c>
      <c r="B299" s="16" t="e">
        <f>IF(Incidencias!#REF!="Mejora","Mejora","Incidencia")</f>
        <v>#REF!</v>
      </c>
      <c r="C299" s="8" t="e">
        <f>IF(Incidencias!#REF!="Mejora","NA",IF(OR(Incidencias!#REF!="Abierta",Incidencias!#REF!="En proceso",Incidencias!#REF!="Info cliente")=TRUE,"En curso",IF(Incidencias!#REF!="Descartada","Descartada","Entregada")))</f>
        <v>#REF!</v>
      </c>
      <c r="D299" s="8" t="e">
        <f>IF(C299="En curso",
IF(Incidencias!#REF!="Sí","Bloqueante",
IF(Incidencias!#REF!="No","No bloqueante","NA")),"NA")</f>
        <v>#REF!</v>
      </c>
      <c r="E299" s="8" t="e">
        <f>IF(C299="En curso",
IF(Incidencias!#REF!="Usuario","Usuario",
IF(Incidencias!#REF!="Proceso","Proceso","NA")),"NA")</f>
        <v>#REF!</v>
      </c>
    </row>
    <row r="300" spans="1:5" x14ac:dyDescent="0.25">
      <c r="A300" s="19">
        <f>Incidencias!B365</f>
        <v>0</v>
      </c>
      <c r="B300" s="16" t="e">
        <f>IF(Incidencias!#REF!="Mejora","Mejora","Incidencia")</f>
        <v>#REF!</v>
      </c>
      <c r="C300" s="8" t="e">
        <f>IF(Incidencias!#REF!="Mejora","NA",IF(OR(Incidencias!#REF!="Abierta",Incidencias!#REF!="En proceso",Incidencias!#REF!="Info cliente")=TRUE,"En curso",IF(Incidencias!#REF!="Descartada","Descartada","Entregada")))</f>
        <v>#REF!</v>
      </c>
      <c r="D300" s="8" t="e">
        <f>IF(C300="En curso",
IF(Incidencias!#REF!="Sí","Bloqueante",
IF(Incidencias!#REF!="No","No bloqueante","NA")),"NA")</f>
        <v>#REF!</v>
      </c>
      <c r="E300" s="8" t="e">
        <f>IF(C300="En curso",
IF(Incidencias!#REF!="Usuario","Usuario",
IF(Incidencias!#REF!="Proceso","Proceso","NA")),"NA")</f>
        <v>#REF!</v>
      </c>
    </row>
    <row r="301" spans="1:5" x14ac:dyDescent="0.25">
      <c r="A301" s="19">
        <f>Incidencias!B366</f>
        <v>0</v>
      </c>
      <c r="B301" s="16" t="e">
        <f>IF(Incidencias!#REF!="Mejora","Mejora","Incidencia")</f>
        <v>#REF!</v>
      </c>
      <c r="C301" s="8" t="e">
        <f>IF(Incidencias!#REF!="Mejora","NA",IF(OR(Incidencias!#REF!="Abierta",Incidencias!#REF!="En proceso",Incidencias!#REF!="Info cliente")=TRUE,"En curso",IF(Incidencias!#REF!="Descartada","Descartada","Entregada")))</f>
        <v>#REF!</v>
      </c>
      <c r="D301" s="8" t="e">
        <f>IF(C301="En curso",
IF(Incidencias!#REF!="Sí","Bloqueante",
IF(Incidencias!#REF!="No","No bloqueante","NA")),"NA")</f>
        <v>#REF!</v>
      </c>
      <c r="E301" s="8" t="e">
        <f>IF(C301="En curso",
IF(Incidencias!#REF!="Usuario","Usuario",
IF(Incidencias!#REF!="Proceso","Proceso","NA")),"NA")</f>
        <v>#REF!</v>
      </c>
    </row>
    <row r="302" spans="1:5" x14ac:dyDescent="0.25">
      <c r="A302" s="19">
        <f>Incidencias!B367</f>
        <v>0</v>
      </c>
      <c r="B302" s="16" t="e">
        <f>IF(Incidencias!#REF!="Mejora","Mejora","Incidencia")</f>
        <v>#REF!</v>
      </c>
      <c r="C302" s="8" t="e">
        <f>IF(Incidencias!#REF!="Mejora","NA",IF(OR(Incidencias!#REF!="Abierta",Incidencias!#REF!="En proceso",Incidencias!#REF!="Info cliente")=TRUE,"En curso",IF(Incidencias!#REF!="Descartada","Descartada","Entregada")))</f>
        <v>#REF!</v>
      </c>
      <c r="D302" s="8" t="e">
        <f>IF(C302="En curso",
IF(Incidencias!#REF!="Sí","Bloqueante",
IF(Incidencias!#REF!="No","No bloqueante","NA")),"NA")</f>
        <v>#REF!</v>
      </c>
      <c r="E302" s="8" t="e">
        <f>IF(C302="En curso",
IF(Incidencias!#REF!="Usuario","Usuario",
IF(Incidencias!#REF!="Proceso","Proceso","NA")),"NA")</f>
        <v>#REF!</v>
      </c>
    </row>
    <row r="303" spans="1:5" x14ac:dyDescent="0.25">
      <c r="A303" s="19">
        <f>Incidencias!B368</f>
        <v>0</v>
      </c>
      <c r="B303" s="16" t="e">
        <f>IF(Incidencias!#REF!="Mejora","Mejora","Incidencia")</f>
        <v>#REF!</v>
      </c>
      <c r="C303" s="8" t="e">
        <f>IF(Incidencias!#REF!="Mejora","NA",IF(OR(Incidencias!#REF!="Abierta",Incidencias!#REF!="En proceso",Incidencias!#REF!="Info cliente")=TRUE,"En curso",IF(Incidencias!#REF!="Descartada","Descartada","Entregada")))</f>
        <v>#REF!</v>
      </c>
      <c r="D303" s="8" t="e">
        <f>IF(C303="En curso",
IF(Incidencias!#REF!="Sí","Bloqueante",
IF(Incidencias!#REF!="No","No bloqueante","NA")),"NA")</f>
        <v>#REF!</v>
      </c>
      <c r="E303" s="8" t="e">
        <f>IF(C303="En curso",
IF(Incidencias!#REF!="Usuario","Usuario",
IF(Incidencias!#REF!="Proceso","Proceso","NA")),"NA")</f>
        <v>#REF!</v>
      </c>
    </row>
    <row r="304" spans="1:5" x14ac:dyDescent="0.25">
      <c r="A304" s="19">
        <f>Incidencias!B369</f>
        <v>0</v>
      </c>
      <c r="B304" s="16" t="e">
        <f>IF(Incidencias!#REF!="Mejora","Mejora","Incidencia")</f>
        <v>#REF!</v>
      </c>
      <c r="C304" s="8" t="e">
        <f>IF(Incidencias!#REF!="Mejora","NA",IF(OR(Incidencias!#REF!="Abierta",Incidencias!#REF!="En proceso",Incidencias!#REF!="Info cliente")=TRUE,"En curso",IF(Incidencias!#REF!="Descartada","Descartada","Entregada")))</f>
        <v>#REF!</v>
      </c>
      <c r="D304" s="8" t="e">
        <f>IF(C304="En curso",
IF(Incidencias!#REF!="Sí","Bloqueante",
IF(Incidencias!#REF!="No","No bloqueante","NA")),"NA")</f>
        <v>#REF!</v>
      </c>
      <c r="E304" s="8" t="e">
        <f>IF(C304="En curso",
IF(Incidencias!#REF!="Usuario","Usuario",
IF(Incidencias!#REF!="Proceso","Proceso","NA")),"NA")</f>
        <v>#REF!</v>
      </c>
    </row>
    <row r="305" spans="1:5" x14ac:dyDescent="0.25">
      <c r="A305" s="19">
        <f>Incidencias!B370</f>
        <v>0</v>
      </c>
      <c r="B305" s="16" t="e">
        <f>IF(Incidencias!#REF!="Mejora","Mejora","Incidencia")</f>
        <v>#REF!</v>
      </c>
      <c r="C305" s="8" t="e">
        <f>IF(Incidencias!#REF!="Mejora","NA",IF(OR(Incidencias!#REF!="Abierta",Incidencias!#REF!="En proceso",Incidencias!#REF!="Info cliente")=TRUE,"En curso",IF(Incidencias!#REF!="Descartada","Descartada","Entregada")))</f>
        <v>#REF!</v>
      </c>
      <c r="D305" s="8" t="e">
        <f>IF(C305="En curso",
IF(Incidencias!#REF!="Sí","Bloqueante",
IF(Incidencias!#REF!="No","No bloqueante","NA")),"NA")</f>
        <v>#REF!</v>
      </c>
      <c r="E305" s="8" t="e">
        <f>IF(C305="En curso",
IF(Incidencias!#REF!="Usuario","Usuario",
IF(Incidencias!#REF!="Proceso","Proceso","NA")),"NA")</f>
        <v>#REF!</v>
      </c>
    </row>
    <row r="306" spans="1:5" x14ac:dyDescent="0.25">
      <c r="A306" s="19">
        <f>Incidencias!B371</f>
        <v>0</v>
      </c>
      <c r="B306" s="16" t="e">
        <f>IF(Incidencias!#REF!="Mejora","Mejora","Incidencia")</f>
        <v>#REF!</v>
      </c>
      <c r="C306" s="8" t="e">
        <f>IF(Incidencias!#REF!="Mejora","NA",IF(OR(Incidencias!#REF!="Abierta",Incidencias!#REF!="En proceso",Incidencias!#REF!="Info cliente")=TRUE,"En curso",IF(Incidencias!#REF!="Descartada","Descartada","Entregada")))</f>
        <v>#REF!</v>
      </c>
      <c r="D306" s="8" t="e">
        <f>IF(C306="En curso",
IF(Incidencias!#REF!="Sí","Bloqueante",
IF(Incidencias!#REF!="No","No bloqueante","NA")),"NA")</f>
        <v>#REF!</v>
      </c>
      <c r="E306" s="8" t="e">
        <f>IF(C306="En curso",
IF(Incidencias!#REF!="Usuario","Usuario",
IF(Incidencias!#REF!="Proceso","Proceso","NA")),"NA")</f>
        <v>#REF!</v>
      </c>
    </row>
    <row r="307" spans="1:5" x14ac:dyDescent="0.25">
      <c r="A307" s="19">
        <f>Incidencias!B372</f>
        <v>0</v>
      </c>
      <c r="B307" s="16" t="e">
        <f>IF(Incidencias!#REF!="Mejora","Mejora","Incidencia")</f>
        <v>#REF!</v>
      </c>
      <c r="C307" s="8" t="e">
        <f>IF(Incidencias!#REF!="Mejora","NA",IF(OR(Incidencias!#REF!="Abierta",Incidencias!#REF!="En proceso",Incidencias!#REF!="Info cliente")=TRUE,"En curso",IF(Incidencias!#REF!="Descartada","Descartada","Entregada")))</f>
        <v>#REF!</v>
      </c>
      <c r="D307" s="8" t="e">
        <f>IF(C307="En curso",
IF(Incidencias!#REF!="Sí","Bloqueante",
IF(Incidencias!#REF!="No","No bloqueante","NA")),"NA")</f>
        <v>#REF!</v>
      </c>
      <c r="E307" s="8" t="e">
        <f>IF(C307="En curso",
IF(Incidencias!#REF!="Usuario","Usuario",
IF(Incidencias!#REF!="Proceso","Proceso","NA")),"NA")</f>
        <v>#REF!</v>
      </c>
    </row>
    <row r="308" spans="1:5" x14ac:dyDescent="0.25">
      <c r="A308" s="19">
        <f>Incidencias!B373</f>
        <v>0</v>
      </c>
      <c r="B308" s="16" t="e">
        <f>IF(Incidencias!#REF!="Mejora","Mejora","Incidencia")</f>
        <v>#REF!</v>
      </c>
      <c r="C308" s="8" t="e">
        <f>IF(Incidencias!#REF!="Mejora","NA",IF(OR(Incidencias!#REF!="Abierta",Incidencias!#REF!="En proceso",Incidencias!#REF!="Info cliente")=TRUE,"En curso",IF(Incidencias!#REF!="Descartada","Descartada","Entregada")))</f>
        <v>#REF!</v>
      </c>
      <c r="D308" s="8" t="e">
        <f>IF(C308="En curso",
IF(Incidencias!#REF!="Sí","Bloqueante",
IF(Incidencias!#REF!="No","No bloqueante","NA")),"NA")</f>
        <v>#REF!</v>
      </c>
      <c r="E308" s="8" t="e">
        <f>IF(C308="En curso",
IF(Incidencias!#REF!="Usuario","Usuario",
IF(Incidencias!#REF!="Proceso","Proceso","NA")),"NA")</f>
        <v>#REF!</v>
      </c>
    </row>
    <row r="309" spans="1:5" x14ac:dyDescent="0.25">
      <c r="A309" s="19">
        <f>Incidencias!B374</f>
        <v>0</v>
      </c>
      <c r="B309" s="16" t="e">
        <f>IF(Incidencias!#REF!="Mejora","Mejora","Incidencia")</f>
        <v>#REF!</v>
      </c>
      <c r="C309" s="8" t="e">
        <f>IF(Incidencias!#REF!="Mejora","NA",IF(OR(Incidencias!#REF!="Abierta",Incidencias!#REF!="En proceso",Incidencias!#REF!="Info cliente")=TRUE,"En curso",IF(Incidencias!#REF!="Descartada","Descartada","Entregada")))</f>
        <v>#REF!</v>
      </c>
      <c r="D309" s="8" t="e">
        <f>IF(C309="En curso",
IF(Incidencias!#REF!="Sí","Bloqueante",
IF(Incidencias!#REF!="No","No bloqueante","NA")),"NA")</f>
        <v>#REF!</v>
      </c>
      <c r="E309" s="8" t="e">
        <f>IF(C309="En curso",
IF(Incidencias!#REF!="Usuario","Usuario",
IF(Incidencias!#REF!="Proceso","Proceso","NA")),"NA")</f>
        <v>#REF!</v>
      </c>
    </row>
    <row r="310" spans="1:5" x14ac:dyDescent="0.25">
      <c r="A310" s="19">
        <f>Incidencias!B375</f>
        <v>0</v>
      </c>
      <c r="B310" s="16" t="e">
        <f>IF(Incidencias!#REF!="Mejora","Mejora","Incidencia")</f>
        <v>#REF!</v>
      </c>
      <c r="C310" s="8" t="e">
        <f>IF(Incidencias!#REF!="Mejora","NA",IF(OR(Incidencias!#REF!="Abierta",Incidencias!#REF!="En proceso",Incidencias!#REF!="Info cliente")=TRUE,"En curso",IF(Incidencias!#REF!="Descartada","Descartada","Entregada")))</f>
        <v>#REF!</v>
      </c>
      <c r="D310" s="8" t="e">
        <f>IF(C310="En curso",
IF(Incidencias!#REF!="Sí","Bloqueante",
IF(Incidencias!#REF!="No","No bloqueante","NA")),"NA")</f>
        <v>#REF!</v>
      </c>
      <c r="E310" s="8" t="e">
        <f>IF(C310="En curso",
IF(Incidencias!#REF!="Usuario","Usuario",
IF(Incidencias!#REF!="Proceso","Proceso","NA")),"NA")</f>
        <v>#REF!</v>
      </c>
    </row>
    <row r="311" spans="1:5" x14ac:dyDescent="0.25">
      <c r="A311" s="19">
        <f>Incidencias!B376</f>
        <v>0</v>
      </c>
      <c r="B311" s="16" t="e">
        <f>IF(Incidencias!#REF!="Mejora","Mejora","Incidencia")</f>
        <v>#REF!</v>
      </c>
      <c r="C311" s="8" t="e">
        <f>IF(Incidencias!#REF!="Mejora","NA",IF(OR(Incidencias!#REF!="Abierta",Incidencias!#REF!="En proceso",Incidencias!#REF!="Info cliente")=TRUE,"En curso",IF(Incidencias!#REF!="Descartada","Descartada","Entregada")))</f>
        <v>#REF!</v>
      </c>
      <c r="D311" s="8" t="e">
        <f>IF(C311="En curso",
IF(Incidencias!#REF!="Sí","Bloqueante",
IF(Incidencias!#REF!="No","No bloqueante","NA")),"NA")</f>
        <v>#REF!</v>
      </c>
      <c r="E311" s="8" t="e">
        <f>IF(C311="En curso",
IF(Incidencias!#REF!="Usuario","Usuario",
IF(Incidencias!#REF!="Proceso","Proceso","NA")),"NA")</f>
        <v>#REF!</v>
      </c>
    </row>
    <row r="312" spans="1:5" x14ac:dyDescent="0.25">
      <c r="A312" s="19">
        <f>Incidencias!B377</f>
        <v>0</v>
      </c>
      <c r="B312" s="16" t="e">
        <f>IF(Incidencias!#REF!="Mejora","Mejora","Incidencia")</f>
        <v>#REF!</v>
      </c>
      <c r="C312" s="8" t="e">
        <f>IF(Incidencias!#REF!="Mejora","NA",IF(OR(Incidencias!#REF!="Abierta",Incidencias!#REF!="En proceso",Incidencias!#REF!="Info cliente")=TRUE,"En curso",IF(Incidencias!#REF!="Descartada","Descartada","Entregada")))</f>
        <v>#REF!</v>
      </c>
      <c r="D312" s="8" t="e">
        <f>IF(C312="En curso",
IF(Incidencias!#REF!="Sí","Bloqueante",
IF(Incidencias!#REF!="No","No bloqueante","NA")),"NA")</f>
        <v>#REF!</v>
      </c>
      <c r="E312" s="8" t="e">
        <f>IF(C312="En curso",
IF(Incidencias!#REF!="Usuario","Usuario",
IF(Incidencias!#REF!="Proceso","Proceso","NA")),"NA")</f>
        <v>#REF!</v>
      </c>
    </row>
    <row r="313" spans="1:5" x14ac:dyDescent="0.25">
      <c r="A313" s="19">
        <f>Incidencias!B378</f>
        <v>0</v>
      </c>
      <c r="B313" s="16" t="e">
        <f>IF(Incidencias!#REF!="Mejora","Mejora","Incidencia")</f>
        <v>#REF!</v>
      </c>
      <c r="C313" s="8" t="e">
        <f>IF(Incidencias!#REF!="Mejora","NA",IF(OR(Incidencias!#REF!="Abierta",Incidencias!#REF!="En proceso",Incidencias!#REF!="Info cliente")=TRUE,"En curso",IF(Incidencias!#REF!="Descartada","Descartada","Entregada")))</f>
        <v>#REF!</v>
      </c>
      <c r="D313" s="8" t="e">
        <f>IF(C313="En curso",
IF(Incidencias!#REF!="Sí","Bloqueante",
IF(Incidencias!#REF!="No","No bloqueante","NA")),"NA")</f>
        <v>#REF!</v>
      </c>
      <c r="E313" s="8" t="e">
        <f>IF(C313="En curso",
IF(Incidencias!#REF!="Usuario","Usuario",
IF(Incidencias!#REF!="Proceso","Proceso","NA")),"NA")</f>
        <v>#REF!</v>
      </c>
    </row>
    <row r="314" spans="1:5" x14ac:dyDescent="0.25">
      <c r="A314" s="19">
        <f>Incidencias!B379</f>
        <v>0</v>
      </c>
      <c r="B314" s="16" t="e">
        <f>IF(Incidencias!#REF!="Mejora","Mejora","Incidencia")</f>
        <v>#REF!</v>
      </c>
      <c r="C314" s="8" t="e">
        <f>IF(Incidencias!#REF!="Mejora","NA",IF(OR(Incidencias!#REF!="Abierta",Incidencias!#REF!="En proceso",Incidencias!#REF!="Info cliente")=TRUE,"En curso",IF(Incidencias!#REF!="Descartada","Descartada","Entregada")))</f>
        <v>#REF!</v>
      </c>
      <c r="D314" s="8" t="e">
        <f>IF(C314="En curso",
IF(Incidencias!#REF!="Sí","Bloqueante",
IF(Incidencias!#REF!="No","No bloqueante","NA")),"NA")</f>
        <v>#REF!</v>
      </c>
      <c r="E314" s="8" t="e">
        <f>IF(C314="En curso",
IF(Incidencias!#REF!="Usuario","Usuario",
IF(Incidencias!#REF!="Proceso","Proceso","NA")),"NA")</f>
        <v>#REF!</v>
      </c>
    </row>
    <row r="315" spans="1:5" x14ac:dyDescent="0.25">
      <c r="A315" s="19">
        <f>Incidencias!B380</f>
        <v>0</v>
      </c>
      <c r="B315" s="16" t="e">
        <f>IF(Incidencias!#REF!="Mejora","Mejora","Incidencia")</f>
        <v>#REF!</v>
      </c>
      <c r="C315" s="8" t="e">
        <f>IF(Incidencias!#REF!="Mejora","NA",IF(OR(Incidencias!#REF!="Abierta",Incidencias!#REF!="En proceso",Incidencias!#REF!="Info cliente")=TRUE,"En curso",IF(Incidencias!#REF!="Descartada","Descartada","Entregada")))</f>
        <v>#REF!</v>
      </c>
      <c r="D315" s="8" t="e">
        <f>IF(C315="En curso",
IF(Incidencias!#REF!="Sí","Bloqueante",
IF(Incidencias!#REF!="No","No bloqueante","NA")),"NA")</f>
        <v>#REF!</v>
      </c>
      <c r="E315" s="8" t="e">
        <f>IF(C315="En curso",
IF(Incidencias!#REF!="Usuario","Usuario",
IF(Incidencias!#REF!="Proceso","Proceso","NA")),"NA")</f>
        <v>#REF!</v>
      </c>
    </row>
    <row r="316" spans="1:5" x14ac:dyDescent="0.25">
      <c r="A316" s="19">
        <f>Incidencias!B381</f>
        <v>0</v>
      </c>
      <c r="B316" s="16" t="e">
        <f>IF(Incidencias!#REF!="Mejora","Mejora","Incidencia")</f>
        <v>#REF!</v>
      </c>
      <c r="C316" s="8" t="e">
        <f>IF(Incidencias!#REF!="Mejora","NA",IF(OR(Incidencias!#REF!="Abierta",Incidencias!#REF!="En proceso",Incidencias!#REF!="Info cliente")=TRUE,"En curso",IF(Incidencias!#REF!="Descartada","Descartada","Entregada")))</f>
        <v>#REF!</v>
      </c>
      <c r="D316" s="8" t="e">
        <f>IF(C316="En curso",
IF(Incidencias!#REF!="Sí","Bloqueante",
IF(Incidencias!#REF!="No","No bloqueante","NA")),"NA")</f>
        <v>#REF!</v>
      </c>
      <c r="E316" s="8" t="e">
        <f>IF(C316="En curso",
IF(Incidencias!#REF!="Usuario","Usuario",
IF(Incidencias!#REF!="Proceso","Proceso","NA")),"NA")</f>
        <v>#REF!</v>
      </c>
    </row>
    <row r="317" spans="1:5" x14ac:dyDescent="0.25">
      <c r="A317" s="19">
        <f>Incidencias!B382</f>
        <v>0</v>
      </c>
      <c r="B317" s="16" t="e">
        <f>IF(Incidencias!#REF!="Mejora","Mejora","Incidencia")</f>
        <v>#REF!</v>
      </c>
      <c r="C317" s="8" t="e">
        <f>IF(Incidencias!#REF!="Mejora","NA",IF(OR(Incidencias!#REF!="Abierta",Incidencias!#REF!="En proceso",Incidencias!#REF!="Info cliente")=TRUE,"En curso",IF(Incidencias!#REF!="Descartada","Descartada","Entregada")))</f>
        <v>#REF!</v>
      </c>
      <c r="D317" s="8" t="e">
        <f>IF(C317="En curso",
IF(Incidencias!#REF!="Sí","Bloqueante",
IF(Incidencias!#REF!="No","No bloqueante","NA")),"NA")</f>
        <v>#REF!</v>
      </c>
      <c r="E317" s="8" t="e">
        <f>IF(C317="En curso",
IF(Incidencias!#REF!="Usuario","Usuario",
IF(Incidencias!#REF!="Proceso","Proceso","NA")),"NA")</f>
        <v>#REF!</v>
      </c>
    </row>
    <row r="318" spans="1:5" x14ac:dyDescent="0.25">
      <c r="A318" s="19">
        <f>Incidencias!B383</f>
        <v>0</v>
      </c>
      <c r="B318" s="16" t="e">
        <f>IF(Incidencias!#REF!="Mejora","Mejora","Incidencia")</f>
        <v>#REF!</v>
      </c>
      <c r="C318" s="8" t="e">
        <f>IF(Incidencias!#REF!="Mejora","NA",IF(OR(Incidencias!#REF!="Abierta",Incidencias!#REF!="En proceso",Incidencias!#REF!="Info cliente")=TRUE,"En curso",IF(Incidencias!#REF!="Descartada","Descartada","Entregada")))</f>
        <v>#REF!</v>
      </c>
      <c r="D318" s="8" t="e">
        <f>IF(C318="En curso",
IF(Incidencias!#REF!="Sí","Bloqueante",
IF(Incidencias!#REF!="No","No bloqueante","NA")),"NA")</f>
        <v>#REF!</v>
      </c>
      <c r="E318" s="8" t="e">
        <f>IF(C318="En curso",
IF(Incidencias!#REF!="Usuario","Usuario",
IF(Incidencias!#REF!="Proceso","Proceso","NA")),"NA")</f>
        <v>#REF!</v>
      </c>
    </row>
    <row r="319" spans="1:5" x14ac:dyDescent="0.25">
      <c r="A319" s="19">
        <f>Incidencias!B384</f>
        <v>0</v>
      </c>
      <c r="B319" s="16" t="e">
        <f>IF(Incidencias!#REF!="Mejora","Mejora","Incidencia")</f>
        <v>#REF!</v>
      </c>
      <c r="C319" s="8" t="e">
        <f>IF(Incidencias!#REF!="Mejora","NA",IF(OR(Incidencias!#REF!="Abierta",Incidencias!#REF!="En proceso",Incidencias!#REF!="Info cliente")=TRUE,"En curso",IF(Incidencias!#REF!="Descartada","Descartada","Entregada")))</f>
        <v>#REF!</v>
      </c>
      <c r="D319" s="8" t="e">
        <f>IF(C319="En curso",
IF(Incidencias!#REF!="Sí","Bloqueante",
IF(Incidencias!#REF!="No","No bloqueante","NA")),"NA")</f>
        <v>#REF!</v>
      </c>
      <c r="E319" s="8" t="e">
        <f>IF(C319="En curso",
IF(Incidencias!#REF!="Usuario","Usuario",
IF(Incidencias!#REF!="Proceso","Proceso","NA")),"NA")</f>
        <v>#REF!</v>
      </c>
    </row>
    <row r="320" spans="1:5" x14ac:dyDescent="0.25">
      <c r="A320" s="19">
        <f>Incidencias!B385</f>
        <v>0</v>
      </c>
      <c r="B320" s="16" t="e">
        <f>IF(Incidencias!#REF!="Mejora","Mejora","Incidencia")</f>
        <v>#REF!</v>
      </c>
      <c r="C320" s="8" t="e">
        <f>IF(Incidencias!#REF!="Mejora","NA",IF(OR(Incidencias!#REF!="Abierta",Incidencias!#REF!="En proceso",Incidencias!#REF!="Info cliente")=TRUE,"En curso",IF(Incidencias!#REF!="Descartada","Descartada","Entregada")))</f>
        <v>#REF!</v>
      </c>
      <c r="D320" s="8" t="e">
        <f>IF(C320="En curso",
IF(Incidencias!#REF!="Sí","Bloqueante",
IF(Incidencias!#REF!="No","No bloqueante","NA")),"NA")</f>
        <v>#REF!</v>
      </c>
      <c r="E320" s="8" t="e">
        <f>IF(C320="En curso",
IF(Incidencias!#REF!="Usuario","Usuario",
IF(Incidencias!#REF!="Proceso","Proceso","NA")),"NA")</f>
        <v>#REF!</v>
      </c>
    </row>
    <row r="321" spans="1:5" x14ac:dyDescent="0.25">
      <c r="A321" s="19">
        <f>Incidencias!B386</f>
        <v>0</v>
      </c>
      <c r="B321" s="16" t="e">
        <f>IF(Incidencias!#REF!="Mejora","Mejora","Incidencia")</f>
        <v>#REF!</v>
      </c>
      <c r="C321" s="8" t="e">
        <f>IF(Incidencias!#REF!="Mejora","NA",IF(OR(Incidencias!#REF!="Abierta",Incidencias!#REF!="En proceso",Incidencias!#REF!="Info cliente")=TRUE,"En curso",IF(Incidencias!#REF!="Descartada","Descartada","Entregada")))</f>
        <v>#REF!</v>
      </c>
      <c r="D321" s="8" t="e">
        <f>IF(C321="En curso",
IF(Incidencias!#REF!="Sí","Bloqueante",
IF(Incidencias!#REF!="No","No bloqueante","NA")),"NA")</f>
        <v>#REF!</v>
      </c>
      <c r="E321" s="8" t="e">
        <f>IF(C321="En curso",
IF(Incidencias!#REF!="Usuario","Usuario",
IF(Incidencias!#REF!="Proceso","Proceso","NA")),"NA")</f>
        <v>#REF!</v>
      </c>
    </row>
    <row r="322" spans="1:5" x14ac:dyDescent="0.25">
      <c r="A322" s="19">
        <f>Incidencias!B387</f>
        <v>0</v>
      </c>
      <c r="B322" s="16" t="e">
        <f>IF(Incidencias!#REF!="Mejora","Mejora","Incidencia")</f>
        <v>#REF!</v>
      </c>
      <c r="C322" s="8" t="e">
        <f>IF(Incidencias!#REF!="Mejora","NA",IF(OR(Incidencias!#REF!="Abierta",Incidencias!#REF!="En proceso",Incidencias!#REF!="Info cliente")=TRUE,"En curso",IF(Incidencias!#REF!="Descartada","Descartada","Entregada")))</f>
        <v>#REF!</v>
      </c>
      <c r="D322" s="8" t="e">
        <f>IF(C322="En curso",
IF(Incidencias!#REF!="Sí","Bloqueante",
IF(Incidencias!#REF!="No","No bloqueante","NA")),"NA")</f>
        <v>#REF!</v>
      </c>
      <c r="E322" s="8" t="e">
        <f>IF(C322="En curso",
IF(Incidencias!#REF!="Usuario","Usuario",
IF(Incidencias!#REF!="Proceso","Proceso","NA")),"NA")</f>
        <v>#REF!</v>
      </c>
    </row>
    <row r="323" spans="1:5" x14ac:dyDescent="0.25">
      <c r="A323" s="19">
        <f>Incidencias!B388</f>
        <v>0</v>
      </c>
      <c r="B323" s="16" t="e">
        <f>IF(Incidencias!#REF!="Mejora","Mejora","Incidencia")</f>
        <v>#REF!</v>
      </c>
      <c r="C323" s="8" t="e">
        <f>IF(Incidencias!#REF!="Mejora","NA",IF(OR(Incidencias!#REF!="Abierta",Incidencias!#REF!="En proceso",Incidencias!#REF!="Info cliente")=TRUE,"En curso",IF(Incidencias!#REF!="Descartada","Descartada","Entregada")))</f>
        <v>#REF!</v>
      </c>
      <c r="D323" s="8" t="e">
        <f>IF(C323="En curso",
IF(Incidencias!#REF!="Sí","Bloqueante",
IF(Incidencias!#REF!="No","No bloqueante","NA")),"NA")</f>
        <v>#REF!</v>
      </c>
      <c r="E323" s="8" t="e">
        <f>IF(C323="En curso",
IF(Incidencias!#REF!="Usuario","Usuario",
IF(Incidencias!#REF!="Proceso","Proceso","NA")),"NA")</f>
        <v>#REF!</v>
      </c>
    </row>
    <row r="324" spans="1:5" x14ac:dyDescent="0.25">
      <c r="A324" s="19">
        <f>Incidencias!B389</f>
        <v>0</v>
      </c>
      <c r="B324" s="16" t="e">
        <f>IF(Incidencias!#REF!="Mejora","Mejora","Incidencia")</f>
        <v>#REF!</v>
      </c>
      <c r="C324" s="8" t="e">
        <f>IF(Incidencias!#REF!="Mejora","NA",IF(OR(Incidencias!#REF!="Abierta",Incidencias!#REF!="En proceso",Incidencias!#REF!="Info cliente")=TRUE,"En curso",IF(Incidencias!#REF!="Descartada","Descartada","Entregada")))</f>
        <v>#REF!</v>
      </c>
      <c r="D324" s="8" t="e">
        <f>IF(C324="En curso",
IF(Incidencias!#REF!="Sí","Bloqueante",
IF(Incidencias!#REF!="No","No bloqueante","NA")),"NA")</f>
        <v>#REF!</v>
      </c>
      <c r="E324" s="8" t="e">
        <f>IF(C324="En curso",
IF(Incidencias!#REF!="Usuario","Usuario",
IF(Incidencias!#REF!="Proceso","Proceso","NA")),"NA")</f>
        <v>#REF!</v>
      </c>
    </row>
    <row r="325" spans="1:5" x14ac:dyDescent="0.25">
      <c r="A325" s="19">
        <f>Incidencias!B390</f>
        <v>0</v>
      </c>
      <c r="B325" s="16" t="e">
        <f>IF(Incidencias!#REF!="Mejora","Mejora","Incidencia")</f>
        <v>#REF!</v>
      </c>
      <c r="C325" s="8" t="e">
        <f>IF(Incidencias!#REF!="Mejora","NA",IF(OR(Incidencias!#REF!="Abierta",Incidencias!#REF!="En proceso",Incidencias!#REF!="Info cliente")=TRUE,"En curso",IF(Incidencias!#REF!="Descartada","Descartada","Entregada")))</f>
        <v>#REF!</v>
      </c>
      <c r="D325" s="8" t="e">
        <f>IF(C325="En curso",
IF(Incidencias!#REF!="Sí","Bloqueante",
IF(Incidencias!#REF!="No","No bloqueante","NA")),"NA")</f>
        <v>#REF!</v>
      </c>
      <c r="E325" s="8" t="e">
        <f>IF(C325="En curso",
IF(Incidencias!#REF!="Usuario","Usuario",
IF(Incidencias!#REF!="Proceso","Proceso","NA")),"NA")</f>
        <v>#REF!</v>
      </c>
    </row>
    <row r="326" spans="1:5" x14ac:dyDescent="0.25">
      <c r="A326" s="19">
        <f>Incidencias!B391</f>
        <v>0</v>
      </c>
      <c r="B326" s="16" t="e">
        <f>IF(Incidencias!#REF!="Mejora","Mejora","Incidencia")</f>
        <v>#REF!</v>
      </c>
      <c r="C326" s="8" t="e">
        <f>IF(Incidencias!#REF!="Mejora","NA",IF(OR(Incidencias!#REF!="Abierta",Incidencias!#REF!="En proceso",Incidencias!#REF!="Info cliente")=TRUE,"En curso",IF(Incidencias!#REF!="Descartada","Descartada","Entregada")))</f>
        <v>#REF!</v>
      </c>
      <c r="D326" s="8" t="e">
        <f>IF(C326="En curso",
IF(Incidencias!#REF!="Sí","Bloqueante",
IF(Incidencias!#REF!="No","No bloqueante","NA")),"NA")</f>
        <v>#REF!</v>
      </c>
      <c r="E326" s="8" t="e">
        <f>IF(C326="En curso",
IF(Incidencias!#REF!="Usuario","Usuario",
IF(Incidencias!#REF!="Proceso","Proceso","NA")),"NA")</f>
        <v>#REF!</v>
      </c>
    </row>
    <row r="327" spans="1:5" x14ac:dyDescent="0.25">
      <c r="A327" s="19">
        <f>Incidencias!B392</f>
        <v>0</v>
      </c>
      <c r="B327" s="16" t="e">
        <f>IF(Incidencias!#REF!="Mejora","Mejora","Incidencia")</f>
        <v>#REF!</v>
      </c>
      <c r="C327" s="8" t="e">
        <f>IF(Incidencias!#REF!="Mejora","NA",IF(OR(Incidencias!#REF!="Abierta",Incidencias!#REF!="En proceso",Incidencias!#REF!="Info cliente")=TRUE,"En curso",IF(Incidencias!#REF!="Descartada","Descartada","Entregada")))</f>
        <v>#REF!</v>
      </c>
      <c r="D327" s="8" t="e">
        <f>IF(C327="En curso",
IF(Incidencias!#REF!="Sí","Bloqueante",
IF(Incidencias!#REF!="No","No bloqueante","NA")),"NA")</f>
        <v>#REF!</v>
      </c>
      <c r="E327" s="8" t="e">
        <f>IF(C327="En curso",
IF(Incidencias!#REF!="Usuario","Usuario",
IF(Incidencias!#REF!="Proceso","Proceso","NA")),"NA")</f>
        <v>#REF!</v>
      </c>
    </row>
    <row r="328" spans="1:5" x14ac:dyDescent="0.25">
      <c r="A328" s="19">
        <f>Incidencias!B393</f>
        <v>0</v>
      </c>
      <c r="B328" s="16" t="e">
        <f>IF(Incidencias!#REF!="Mejora","Mejora","Incidencia")</f>
        <v>#REF!</v>
      </c>
      <c r="C328" s="8" t="e">
        <f>IF(Incidencias!#REF!="Mejora","NA",IF(OR(Incidencias!#REF!="Abierta",Incidencias!#REF!="En proceso",Incidencias!#REF!="Info cliente")=TRUE,"En curso",IF(Incidencias!#REF!="Descartada","Descartada","Entregada")))</f>
        <v>#REF!</v>
      </c>
      <c r="D328" s="8" t="e">
        <f>IF(C328="En curso",
IF(Incidencias!#REF!="Sí","Bloqueante",
IF(Incidencias!#REF!="No","No bloqueante","NA")),"NA")</f>
        <v>#REF!</v>
      </c>
      <c r="E328" s="8" t="e">
        <f>IF(C328="En curso",
IF(Incidencias!#REF!="Usuario","Usuario",
IF(Incidencias!#REF!="Proceso","Proceso","NA")),"NA")</f>
        <v>#REF!</v>
      </c>
    </row>
    <row r="329" spans="1:5" x14ac:dyDescent="0.25">
      <c r="A329" s="19">
        <f>Incidencias!B394</f>
        <v>0</v>
      </c>
      <c r="B329" s="16" t="e">
        <f>IF(Incidencias!#REF!="Mejora","Mejora","Incidencia")</f>
        <v>#REF!</v>
      </c>
      <c r="C329" s="8" t="e">
        <f>IF(Incidencias!#REF!="Mejora","NA",IF(OR(Incidencias!#REF!="Abierta",Incidencias!#REF!="En proceso",Incidencias!#REF!="Info cliente")=TRUE,"En curso",IF(Incidencias!#REF!="Descartada","Descartada","Entregada")))</f>
        <v>#REF!</v>
      </c>
      <c r="D329" s="8" t="e">
        <f>IF(C329="En curso",
IF(Incidencias!#REF!="Sí","Bloqueante",
IF(Incidencias!#REF!="No","No bloqueante","NA")),"NA")</f>
        <v>#REF!</v>
      </c>
      <c r="E329" s="8" t="e">
        <f>IF(C329="En curso",
IF(Incidencias!#REF!="Usuario","Usuario",
IF(Incidencias!#REF!="Proceso","Proceso","NA")),"NA")</f>
        <v>#REF!</v>
      </c>
    </row>
    <row r="330" spans="1:5" x14ac:dyDescent="0.25">
      <c r="A330" s="19"/>
      <c r="B330" s="16"/>
    </row>
    <row r="331" spans="1:5" x14ac:dyDescent="0.25">
      <c r="A331" s="19"/>
      <c r="B331" s="16"/>
    </row>
    <row r="332" spans="1:5" x14ac:dyDescent="0.25">
      <c r="A332" s="19"/>
      <c r="B332" s="16"/>
    </row>
    <row r="333" spans="1:5" x14ac:dyDescent="0.25">
      <c r="A333" s="19"/>
      <c r="B333" s="16"/>
    </row>
    <row r="334" spans="1:5" x14ac:dyDescent="0.25">
      <c r="A334" s="19"/>
      <c r="B334" s="16"/>
    </row>
    <row r="335" spans="1:5" x14ac:dyDescent="0.25">
      <c r="A335" s="19"/>
      <c r="B335" s="16"/>
    </row>
    <row r="336" spans="1:5" x14ac:dyDescent="0.25">
      <c r="A336" s="19"/>
      <c r="B336" s="16"/>
    </row>
    <row r="337" spans="1:2" x14ac:dyDescent="0.25">
      <c r="A337" s="19"/>
      <c r="B337" s="16"/>
    </row>
    <row r="338" spans="1:2" x14ac:dyDescent="0.25">
      <c r="A338" s="19"/>
      <c r="B338" s="16"/>
    </row>
    <row r="339" spans="1:2" x14ac:dyDescent="0.25">
      <c r="A339" s="19"/>
      <c r="B339" s="16"/>
    </row>
    <row r="340" spans="1:2" x14ac:dyDescent="0.25">
      <c r="A340" s="19"/>
      <c r="B340" s="16"/>
    </row>
    <row r="341" spans="1:2" x14ac:dyDescent="0.25">
      <c r="A341" s="19"/>
      <c r="B341" s="16"/>
    </row>
    <row r="342" spans="1:2" x14ac:dyDescent="0.25">
      <c r="A342" s="19"/>
      <c r="B342" s="16"/>
    </row>
    <row r="343" spans="1:2" x14ac:dyDescent="0.25">
      <c r="A343" s="19"/>
      <c r="B343" s="16"/>
    </row>
    <row r="344" spans="1:2" x14ac:dyDescent="0.25">
      <c r="A344" s="19"/>
      <c r="B344" s="16"/>
    </row>
    <row r="345" spans="1:2" x14ac:dyDescent="0.25">
      <c r="A345" s="19"/>
      <c r="B345" s="16"/>
    </row>
    <row r="346" spans="1:2" x14ac:dyDescent="0.25">
      <c r="A346" s="19"/>
      <c r="B346" s="16"/>
    </row>
    <row r="347" spans="1:2" x14ac:dyDescent="0.25">
      <c r="A347" s="19"/>
      <c r="B347" s="16"/>
    </row>
    <row r="348" spans="1:2" x14ac:dyDescent="0.25">
      <c r="A348" s="19"/>
      <c r="B348" s="16"/>
    </row>
    <row r="349" spans="1:2" x14ac:dyDescent="0.25">
      <c r="A349" s="19"/>
      <c r="B349" s="16"/>
    </row>
    <row r="350" spans="1:2" x14ac:dyDescent="0.25">
      <c r="A350" s="19"/>
      <c r="B350" s="16"/>
    </row>
    <row r="351" spans="1:2" x14ac:dyDescent="0.25">
      <c r="A351" s="19"/>
      <c r="B351" s="16"/>
    </row>
    <row r="352" spans="1:2" x14ac:dyDescent="0.25">
      <c r="A352" s="19"/>
      <c r="B352" s="16"/>
    </row>
    <row r="353" spans="1:2" x14ac:dyDescent="0.25">
      <c r="A353" s="19"/>
      <c r="B353" s="16"/>
    </row>
    <row r="354" spans="1:2" x14ac:dyDescent="0.25">
      <c r="A354" s="19"/>
      <c r="B354" s="16"/>
    </row>
    <row r="355" spans="1:2" x14ac:dyDescent="0.25">
      <c r="A355" s="19"/>
      <c r="B355" s="16"/>
    </row>
    <row r="356" spans="1:2" x14ac:dyDescent="0.25">
      <c r="A356" s="19"/>
      <c r="B356" s="16"/>
    </row>
    <row r="357" spans="1:2" x14ac:dyDescent="0.25">
      <c r="A357" s="19"/>
      <c r="B357" s="16"/>
    </row>
    <row r="358" spans="1:2" x14ac:dyDescent="0.25">
      <c r="A358" s="19"/>
      <c r="B358" s="16"/>
    </row>
    <row r="359" spans="1:2" x14ac:dyDescent="0.25">
      <c r="A359" s="19"/>
      <c r="B359" s="16"/>
    </row>
    <row r="360" spans="1:2" x14ac:dyDescent="0.25">
      <c r="A360" s="19"/>
      <c r="B360" s="16"/>
    </row>
    <row r="361" spans="1:2" x14ac:dyDescent="0.25">
      <c r="A361" s="19"/>
      <c r="B361" s="16"/>
    </row>
    <row r="362" spans="1:2" x14ac:dyDescent="0.25">
      <c r="A362" s="19"/>
      <c r="B362" s="16"/>
    </row>
    <row r="363" spans="1:2" x14ac:dyDescent="0.25">
      <c r="A363" s="19"/>
      <c r="B363" s="16"/>
    </row>
    <row r="364" spans="1:2" x14ac:dyDescent="0.25">
      <c r="A364" s="19"/>
      <c r="B364" s="16"/>
    </row>
    <row r="365" spans="1:2" x14ac:dyDescent="0.25">
      <c r="A365" s="19"/>
      <c r="B365" s="16"/>
    </row>
    <row r="366" spans="1:2" x14ac:dyDescent="0.25">
      <c r="A366" s="19"/>
      <c r="B366" s="16"/>
    </row>
    <row r="367" spans="1:2" x14ac:dyDescent="0.25">
      <c r="A367" s="19"/>
      <c r="B367" s="16"/>
    </row>
    <row r="368" spans="1:2" x14ac:dyDescent="0.25">
      <c r="A368" s="19"/>
      <c r="B368" s="16"/>
    </row>
    <row r="369" spans="1:2" x14ac:dyDescent="0.25">
      <c r="A369" s="19"/>
      <c r="B369" s="16"/>
    </row>
    <row r="370" spans="1:2" x14ac:dyDescent="0.25">
      <c r="A370" s="19"/>
      <c r="B370" s="16"/>
    </row>
    <row r="371" spans="1:2" x14ac:dyDescent="0.25">
      <c r="A371" s="19"/>
      <c r="B371" s="16"/>
    </row>
    <row r="372" spans="1:2" x14ac:dyDescent="0.25">
      <c r="A372" s="19"/>
      <c r="B372" s="16"/>
    </row>
    <row r="373" spans="1:2" x14ac:dyDescent="0.25">
      <c r="A373" s="19"/>
      <c r="B373" s="16"/>
    </row>
    <row r="374" spans="1:2" x14ac:dyDescent="0.25">
      <c r="A374" s="19"/>
      <c r="B374" s="16"/>
    </row>
    <row r="375" spans="1:2" x14ac:dyDescent="0.25">
      <c r="A375" s="19"/>
      <c r="B375" s="16"/>
    </row>
    <row r="376" spans="1:2" x14ac:dyDescent="0.25">
      <c r="A376" s="19"/>
      <c r="B376" s="16"/>
    </row>
    <row r="377" spans="1:2" x14ac:dyDescent="0.25">
      <c r="A377" s="19"/>
      <c r="B377" s="16"/>
    </row>
    <row r="378" spans="1:2" x14ac:dyDescent="0.25">
      <c r="A378" s="19"/>
      <c r="B378" s="16"/>
    </row>
    <row r="379" spans="1:2" x14ac:dyDescent="0.25">
      <c r="A379" s="19"/>
      <c r="B379" s="16"/>
    </row>
    <row r="380" spans="1:2" x14ac:dyDescent="0.25">
      <c r="A380" s="19"/>
      <c r="B380" s="16"/>
    </row>
    <row r="381" spans="1:2" x14ac:dyDescent="0.25">
      <c r="A381" s="19"/>
      <c r="B381" s="16"/>
    </row>
    <row r="382" spans="1:2" x14ac:dyDescent="0.25">
      <c r="A382" s="19"/>
      <c r="B382" s="16"/>
    </row>
    <row r="383" spans="1:2" x14ac:dyDescent="0.25">
      <c r="A383" s="19"/>
      <c r="B383" s="16"/>
    </row>
    <row r="384" spans="1:2" x14ac:dyDescent="0.25">
      <c r="A384" s="19"/>
      <c r="B384" s="16"/>
    </row>
    <row r="385" spans="1:2" x14ac:dyDescent="0.25">
      <c r="A385" s="19"/>
      <c r="B385" s="16"/>
    </row>
    <row r="386" spans="1:2" x14ac:dyDescent="0.25">
      <c r="A386" s="19"/>
      <c r="B386" s="16"/>
    </row>
    <row r="387" spans="1:2" x14ac:dyDescent="0.25">
      <c r="A387" s="19"/>
      <c r="B387" s="16"/>
    </row>
    <row r="388" spans="1:2" x14ac:dyDescent="0.25">
      <c r="A388" s="19"/>
      <c r="B388" s="16"/>
    </row>
    <row r="389" spans="1:2" x14ac:dyDescent="0.25">
      <c r="A389" s="19"/>
      <c r="B389" s="16"/>
    </row>
    <row r="390" spans="1:2" x14ac:dyDescent="0.25">
      <c r="A390" s="19"/>
      <c r="B390" s="16"/>
    </row>
    <row r="391" spans="1:2" x14ac:dyDescent="0.25">
      <c r="A391" s="19"/>
      <c r="B391" s="16"/>
    </row>
    <row r="392" spans="1:2" x14ac:dyDescent="0.25">
      <c r="A392" s="19"/>
      <c r="B392" s="16"/>
    </row>
    <row r="393" spans="1:2" x14ac:dyDescent="0.25">
      <c r="A393" s="19"/>
      <c r="B393" s="16"/>
    </row>
    <row r="394" spans="1:2" x14ac:dyDescent="0.25">
      <c r="A394" s="19"/>
      <c r="B394" s="16"/>
    </row>
    <row r="395" spans="1:2" x14ac:dyDescent="0.25">
      <c r="A395" s="19"/>
      <c r="B395" s="16"/>
    </row>
    <row r="396" spans="1:2" x14ac:dyDescent="0.25">
      <c r="A396" s="19"/>
      <c r="B396" s="16"/>
    </row>
    <row r="397" spans="1:2" x14ac:dyDescent="0.25">
      <c r="A397" s="19"/>
      <c r="B397" s="1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1B37A-9048-41E0-8FB6-D50AB2A71609}">
  <dimension ref="A1:AD35"/>
  <sheetViews>
    <sheetView showGridLines="0" workbookViewId="0">
      <selection activeCell="F14" sqref="F14"/>
    </sheetView>
  </sheetViews>
  <sheetFormatPr baseColWidth="10" defaultColWidth="11.44140625" defaultRowHeight="13.8" x14ac:dyDescent="0.25"/>
  <cols>
    <col min="1" max="2" width="24.6640625" style="8" customWidth="1"/>
    <col min="3" max="3" width="5.6640625" style="8" customWidth="1"/>
    <col min="4" max="4" width="9.6640625" style="8" bestFit="1" customWidth="1"/>
    <col min="5" max="5" width="5.6640625" style="8" customWidth="1"/>
    <col min="6" max="6" width="10.33203125" style="8" bestFit="1" customWidth="1"/>
    <col min="7" max="7" width="5.6640625" style="8" customWidth="1"/>
    <col min="8" max="8" width="10.6640625" style="8" customWidth="1"/>
    <col min="9" max="9" width="8" style="8" customWidth="1"/>
    <col min="10" max="10" width="40.88671875" style="8" bestFit="1" customWidth="1"/>
    <col min="11" max="11" width="5.6640625" style="8" customWidth="1"/>
    <col min="12" max="12" width="24.33203125" style="8" bestFit="1" customWidth="1"/>
    <col min="13" max="13" width="5.6640625" style="8" customWidth="1"/>
    <col min="14" max="14" width="8.88671875" style="8" bestFit="1" customWidth="1"/>
    <col min="15" max="15" width="5.6640625" style="8" customWidth="1"/>
    <col min="16" max="16" width="26.88671875" style="8" bestFit="1" customWidth="1"/>
    <col min="17" max="17" width="11.44140625" style="8"/>
    <col min="18" max="18" width="24.33203125" style="8" bestFit="1" customWidth="1"/>
    <col min="19" max="19" width="11.44140625" style="8"/>
    <col min="20" max="20" width="7.6640625" style="8" bestFit="1" customWidth="1"/>
    <col min="21" max="21" width="11.44140625" style="8"/>
    <col min="22" max="22" width="36.33203125" style="8" bestFit="1" customWidth="1"/>
    <col min="23" max="23" width="6" style="8" customWidth="1"/>
    <col min="24" max="24" width="26.6640625" style="8" bestFit="1" customWidth="1"/>
    <col min="25" max="26" width="26.6640625" style="8" customWidth="1"/>
    <col min="27" max="27" width="5.5546875" style="8" customWidth="1"/>
    <col min="28" max="28" width="5.109375" style="8" bestFit="1" customWidth="1"/>
    <col min="29" max="29" width="6.109375" style="8" customWidth="1"/>
    <col min="30" max="30" width="25.33203125" style="8" bestFit="1" customWidth="1"/>
    <col min="31" max="16384" width="11.44140625" style="8"/>
  </cols>
  <sheetData>
    <row r="1" spans="1:30" ht="30" customHeight="1" thickBot="1" x14ac:dyDescent="0.3">
      <c r="A1" s="208" t="s">
        <v>406</v>
      </c>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row>
    <row r="2" spans="1:30" ht="27.6" x14ac:dyDescent="0.25">
      <c r="A2" s="6" t="s">
        <v>34</v>
      </c>
      <c r="B2" s="117"/>
      <c r="C2" s="2"/>
      <c r="D2" s="6" t="s">
        <v>0</v>
      </c>
      <c r="E2" s="2"/>
      <c r="F2" s="7" t="s">
        <v>399</v>
      </c>
      <c r="G2" s="2"/>
      <c r="H2" s="28" t="s">
        <v>1</v>
      </c>
      <c r="I2" s="43"/>
      <c r="J2" s="29" t="s">
        <v>28</v>
      </c>
      <c r="K2" s="2"/>
      <c r="L2" s="6" t="s">
        <v>407</v>
      </c>
      <c r="M2" s="2"/>
      <c r="N2" s="6" t="s">
        <v>32</v>
      </c>
      <c r="O2" s="2"/>
      <c r="P2" s="21" t="s">
        <v>408</v>
      </c>
      <c r="R2" s="21" t="s">
        <v>409</v>
      </c>
      <c r="T2" s="21" t="s">
        <v>410</v>
      </c>
      <c r="V2" s="7" t="s">
        <v>28</v>
      </c>
      <c r="X2" s="7" t="s">
        <v>411</v>
      </c>
      <c r="Y2" s="117"/>
      <c r="Z2" s="117"/>
      <c r="AA2" s="117"/>
      <c r="AB2" s="7" t="s">
        <v>412</v>
      </c>
      <c r="AD2" s="7" t="s">
        <v>413</v>
      </c>
    </row>
    <row r="3" spans="1:30" ht="14.4" x14ac:dyDescent="0.3">
      <c r="A3" s="5" t="s">
        <v>71</v>
      </c>
      <c r="B3" s="2" t="s">
        <v>141</v>
      </c>
      <c r="C3" s="2"/>
      <c r="D3" s="5" t="s">
        <v>5</v>
      </c>
      <c r="E3" s="2"/>
      <c r="F3" s="5" t="s">
        <v>67</v>
      </c>
      <c r="G3" s="2"/>
      <c r="H3" s="30" t="s">
        <v>3</v>
      </c>
      <c r="I3" s="44"/>
      <c r="J3" s="31" t="s">
        <v>3</v>
      </c>
      <c r="K3" s="2"/>
      <c r="L3" s="4" t="s">
        <v>100</v>
      </c>
      <c r="M3" s="2"/>
      <c r="N3" s="5" t="s">
        <v>414</v>
      </c>
      <c r="O3" s="2"/>
      <c r="P3" s="5" t="s">
        <v>415</v>
      </c>
      <c r="R3" s="4" t="s">
        <v>100</v>
      </c>
      <c r="T3" s="24" t="s">
        <v>416</v>
      </c>
      <c r="V3" s="27" t="s">
        <v>43</v>
      </c>
      <c r="X3" s="9" t="s">
        <v>417</v>
      </c>
      <c r="AB3" s="9" t="s">
        <v>418</v>
      </c>
      <c r="AD3" s="9" t="s">
        <v>419</v>
      </c>
    </row>
    <row r="4" spans="1:30" ht="28.2" x14ac:dyDescent="0.3">
      <c r="A4" s="5" t="s">
        <v>420</v>
      </c>
      <c r="B4" s="2" t="s">
        <v>141</v>
      </c>
      <c r="C4" s="2"/>
      <c r="D4" s="5" t="s">
        <v>11</v>
      </c>
      <c r="E4" s="2"/>
      <c r="F4" s="5" t="s">
        <v>67</v>
      </c>
      <c r="G4" s="2"/>
      <c r="H4" s="30" t="s">
        <v>93</v>
      </c>
      <c r="I4" s="44"/>
      <c r="J4" s="31" t="s">
        <v>421</v>
      </c>
      <c r="K4" s="2"/>
      <c r="L4" s="4" t="s">
        <v>84</v>
      </c>
      <c r="M4" s="2"/>
      <c r="N4" s="5" t="s">
        <v>422</v>
      </c>
      <c r="O4" s="2"/>
      <c r="P4" s="5" t="s">
        <v>70</v>
      </c>
      <c r="R4" s="4" t="s">
        <v>84</v>
      </c>
      <c r="T4" s="25" t="s">
        <v>423</v>
      </c>
      <c r="V4" s="27" t="s">
        <v>424</v>
      </c>
      <c r="X4" s="9" t="s">
        <v>425</v>
      </c>
      <c r="AB4" s="9" t="s">
        <v>426</v>
      </c>
      <c r="AD4" s="9" t="s">
        <v>427</v>
      </c>
    </row>
    <row r="5" spans="1:30" ht="28.2" x14ac:dyDescent="0.3">
      <c r="A5" s="5" t="s">
        <v>54</v>
      </c>
      <c r="B5" s="2" t="s">
        <v>428</v>
      </c>
      <c r="C5" s="2"/>
      <c r="D5" s="5" t="s">
        <v>45</v>
      </c>
      <c r="E5" s="2"/>
      <c r="F5" s="5" t="s">
        <v>129</v>
      </c>
      <c r="G5" s="2"/>
      <c r="H5" s="30" t="s">
        <v>169</v>
      </c>
      <c r="I5" s="44"/>
      <c r="J5" s="31" t="s">
        <v>429</v>
      </c>
      <c r="K5" s="2"/>
      <c r="L5" s="4" t="s">
        <v>66</v>
      </c>
      <c r="M5" s="2"/>
      <c r="N5" s="5" t="s">
        <v>430</v>
      </c>
      <c r="O5" s="2"/>
      <c r="P5" s="5" t="s">
        <v>97</v>
      </c>
      <c r="R5" s="4" t="s">
        <v>66</v>
      </c>
      <c r="T5" s="26" t="s">
        <v>431</v>
      </c>
      <c r="V5" s="27"/>
      <c r="X5" s="9" t="s">
        <v>432</v>
      </c>
      <c r="AD5" s="9" t="s">
        <v>433</v>
      </c>
    </row>
    <row r="6" spans="1:30" ht="13.2" customHeight="1" thickBot="1" x14ac:dyDescent="0.35">
      <c r="A6" s="4" t="s">
        <v>434</v>
      </c>
      <c r="B6" s="2" t="s">
        <v>428</v>
      </c>
      <c r="C6" s="2"/>
      <c r="D6" s="5" t="s">
        <v>2</v>
      </c>
      <c r="E6" s="2"/>
      <c r="F6" s="5" t="s">
        <v>245</v>
      </c>
      <c r="G6" s="2"/>
      <c r="H6" s="30" t="s">
        <v>15</v>
      </c>
      <c r="I6" s="45"/>
      <c r="J6" s="33" t="s">
        <v>435</v>
      </c>
      <c r="K6" s="2"/>
      <c r="L6" s="4" t="s">
        <v>40</v>
      </c>
      <c r="M6" s="2"/>
      <c r="N6" s="5" t="s">
        <v>436</v>
      </c>
      <c r="O6" s="2"/>
      <c r="P6" s="5" t="s">
        <v>53</v>
      </c>
      <c r="R6" s="4" t="s">
        <v>40</v>
      </c>
      <c r="T6" s="22" t="s">
        <v>437</v>
      </c>
      <c r="V6" s="27"/>
      <c r="X6" s="9" t="s">
        <v>438</v>
      </c>
      <c r="AD6" s="9" t="s">
        <v>439</v>
      </c>
    </row>
    <row r="7" spans="1:30" ht="14.4" x14ac:dyDescent="0.3">
      <c r="A7" s="5" t="s">
        <v>440</v>
      </c>
      <c r="B7" s="2" t="s">
        <v>428</v>
      </c>
      <c r="C7" s="2"/>
      <c r="D7" s="5" t="s">
        <v>8</v>
      </c>
      <c r="E7" s="2"/>
      <c r="F7" s="5" t="s">
        <v>17</v>
      </c>
      <c r="G7" s="2"/>
      <c r="H7" s="30" t="s">
        <v>42</v>
      </c>
      <c r="I7" s="2"/>
      <c r="J7" s="1"/>
      <c r="K7" s="2"/>
      <c r="L7" s="4" t="s">
        <v>61</v>
      </c>
      <c r="M7" s="2"/>
      <c r="N7" s="5" t="s">
        <v>422</v>
      </c>
      <c r="O7" s="2"/>
      <c r="P7" s="5" t="s">
        <v>76</v>
      </c>
      <c r="R7" s="4" t="s">
        <v>61</v>
      </c>
      <c r="V7" s="27"/>
      <c r="X7" s="9" t="s">
        <v>441</v>
      </c>
      <c r="AD7" s="9" t="s">
        <v>442</v>
      </c>
    </row>
    <row r="8" spans="1:30" ht="15" thickBot="1" x14ac:dyDescent="0.35">
      <c r="A8" s="5" t="s">
        <v>443</v>
      </c>
      <c r="B8" s="2" t="s">
        <v>428</v>
      </c>
      <c r="C8" s="2"/>
      <c r="D8" s="2"/>
      <c r="E8" s="2"/>
      <c r="F8" s="5" t="s">
        <v>50</v>
      </c>
      <c r="G8" s="2"/>
      <c r="H8" s="32" t="s">
        <v>56</v>
      </c>
      <c r="I8" s="2"/>
      <c r="J8" s="1"/>
      <c r="K8" s="2"/>
      <c r="L8" s="4" t="s">
        <v>444</v>
      </c>
      <c r="M8" s="2"/>
      <c r="N8" s="2"/>
      <c r="O8" s="2"/>
      <c r="P8" s="5" t="s">
        <v>86</v>
      </c>
      <c r="R8" s="4" t="s">
        <v>444</v>
      </c>
      <c r="V8" s="27"/>
      <c r="X8" s="9" t="s">
        <v>445</v>
      </c>
      <c r="AD8" s="9" t="s">
        <v>446</v>
      </c>
    </row>
    <row r="9" spans="1:30" ht="14.4" x14ac:dyDescent="0.3">
      <c r="A9" s="5" t="s">
        <v>447</v>
      </c>
      <c r="B9" s="2" t="s">
        <v>428</v>
      </c>
      <c r="C9" s="2"/>
      <c r="D9" s="2"/>
      <c r="E9" s="2"/>
      <c r="F9" s="5" t="s">
        <v>41</v>
      </c>
      <c r="G9" s="2"/>
      <c r="H9" s="1"/>
      <c r="I9" s="1"/>
      <c r="J9" s="1"/>
      <c r="K9" s="2"/>
      <c r="L9" s="4"/>
      <c r="M9" s="2"/>
      <c r="N9" s="2"/>
      <c r="O9" s="2"/>
      <c r="P9" s="5" t="s">
        <v>64</v>
      </c>
      <c r="R9" s="22"/>
      <c r="V9" s="27"/>
      <c r="AD9" s="9" t="s">
        <v>448</v>
      </c>
    </row>
    <row r="10" spans="1:30" ht="27.6" x14ac:dyDescent="0.25">
      <c r="A10" s="5" t="s">
        <v>449</v>
      </c>
      <c r="B10" s="2" t="s">
        <v>428</v>
      </c>
      <c r="C10" s="2"/>
      <c r="D10" s="2"/>
      <c r="E10" s="2"/>
      <c r="F10" s="5" t="s">
        <v>450</v>
      </c>
      <c r="G10" s="2"/>
      <c r="H10" s="1"/>
      <c r="I10" s="1"/>
      <c r="J10" s="1"/>
      <c r="K10" s="2"/>
      <c r="L10" s="4"/>
      <c r="M10" s="2"/>
      <c r="N10" s="2"/>
      <c r="O10" s="2"/>
      <c r="P10" s="5" t="s">
        <v>59</v>
      </c>
      <c r="R10" s="22"/>
      <c r="AD10" s="9" t="s">
        <v>451</v>
      </c>
    </row>
    <row r="11" spans="1:30" x14ac:dyDescent="0.25">
      <c r="A11" s="5" t="s">
        <v>452</v>
      </c>
      <c r="B11" s="2" t="s">
        <v>428</v>
      </c>
      <c r="C11" s="2"/>
      <c r="D11" s="2"/>
      <c r="E11" s="2"/>
      <c r="F11" s="5" t="s">
        <v>116</v>
      </c>
      <c r="G11" s="2"/>
      <c r="H11" s="1"/>
      <c r="I11" s="1"/>
      <c r="J11" s="1"/>
      <c r="K11" s="2"/>
      <c r="L11" s="4"/>
      <c r="M11" s="2"/>
      <c r="N11" s="2"/>
      <c r="O11" s="2"/>
      <c r="P11" s="5" t="s">
        <v>47</v>
      </c>
      <c r="R11" s="22"/>
      <c r="AD11" s="9"/>
    </row>
    <row r="12" spans="1:30" x14ac:dyDescent="0.25">
      <c r="A12" s="5" t="s">
        <v>48</v>
      </c>
      <c r="B12" s="2" t="s">
        <v>141</v>
      </c>
      <c r="C12" s="3"/>
      <c r="D12" s="2"/>
      <c r="E12" s="3"/>
      <c r="F12" s="2"/>
      <c r="G12" s="3"/>
      <c r="H12" s="1"/>
      <c r="I12" s="1"/>
      <c r="J12" s="1"/>
      <c r="K12" s="3"/>
      <c r="L12" s="4"/>
      <c r="M12" s="3"/>
      <c r="N12" s="3"/>
      <c r="O12" s="3"/>
      <c r="P12" s="5"/>
      <c r="R12" s="22"/>
      <c r="AD12" s="9"/>
    </row>
    <row r="13" spans="1:30" x14ac:dyDescent="0.25">
      <c r="A13" s="5" t="s">
        <v>453</v>
      </c>
      <c r="B13" s="2" t="s">
        <v>428</v>
      </c>
      <c r="C13" s="1"/>
      <c r="D13" s="3"/>
      <c r="E13" s="1"/>
      <c r="F13" s="2"/>
      <c r="G13" s="1"/>
      <c r="H13" s="1"/>
      <c r="I13" s="1"/>
      <c r="J13" s="1"/>
      <c r="K13" s="1"/>
      <c r="L13" s="9"/>
      <c r="M13" s="1"/>
      <c r="N13" s="1"/>
      <c r="O13" s="1"/>
      <c r="P13" s="5"/>
      <c r="R13" s="22"/>
    </row>
    <row r="14" spans="1:30" x14ac:dyDescent="0.25">
      <c r="A14" s="5" t="s">
        <v>454</v>
      </c>
      <c r="B14" s="2" t="s">
        <v>141</v>
      </c>
      <c r="C14" s="1"/>
      <c r="D14" s="1"/>
      <c r="E14" s="1"/>
      <c r="F14" s="2"/>
      <c r="G14" s="1"/>
      <c r="H14" s="1"/>
      <c r="I14" s="1"/>
      <c r="J14" s="1"/>
      <c r="K14" s="1"/>
      <c r="L14" s="9"/>
      <c r="M14" s="1"/>
      <c r="N14" s="1"/>
      <c r="O14" s="1"/>
      <c r="R14" s="22"/>
    </row>
    <row r="15" spans="1:30" x14ac:dyDescent="0.25">
      <c r="A15" s="3"/>
      <c r="B15" s="3"/>
      <c r="C15" s="1"/>
      <c r="D15" s="1"/>
      <c r="E15" s="1"/>
      <c r="F15" s="2"/>
      <c r="G15" s="1"/>
      <c r="H15" s="1"/>
      <c r="I15" s="1"/>
      <c r="J15" s="1"/>
      <c r="K15" s="1"/>
      <c r="L15" s="9"/>
      <c r="M15" s="1"/>
      <c r="N15" s="1"/>
      <c r="O15" s="1"/>
      <c r="R15" s="22"/>
    </row>
    <row r="16" spans="1:30" x14ac:dyDescent="0.25">
      <c r="A16" s="1"/>
      <c r="B16" s="1"/>
      <c r="C16" s="1"/>
      <c r="D16" s="1"/>
      <c r="E16" s="1"/>
      <c r="F16" s="2"/>
      <c r="G16" s="1"/>
      <c r="H16" s="1"/>
      <c r="I16" s="1"/>
      <c r="J16" s="1"/>
      <c r="K16" s="1"/>
      <c r="L16" s="23"/>
      <c r="M16" s="1"/>
      <c r="N16" s="1"/>
      <c r="O16" s="1"/>
      <c r="R16" s="22"/>
    </row>
    <row r="17" spans="1:18" ht="14.4" x14ac:dyDescent="0.3">
      <c r="A17" s="1"/>
      <c r="B17" s="1"/>
      <c r="C17" s="1"/>
      <c r="D17" s="1"/>
      <c r="E17" s="1"/>
      <c r="F17" s="2"/>
      <c r="G17" s="1"/>
      <c r="H17" s="1"/>
      <c r="I17" s="1"/>
      <c r="J17" s="1"/>
      <c r="K17" s="1"/>
      <c r="L17" s="23"/>
      <c r="M17" s="1"/>
      <c r="N17" s="1"/>
      <c r="O17" s="1"/>
      <c r="R17"/>
    </row>
    <row r="18" spans="1:18" ht="14.4" x14ac:dyDescent="0.3">
      <c r="A18" s="1"/>
      <c r="B18" s="1"/>
      <c r="C18" s="1"/>
      <c r="D18" s="1"/>
      <c r="E18" s="1"/>
      <c r="F18" s="3"/>
      <c r="G18" s="1"/>
      <c r="H18" s="1"/>
      <c r="I18" s="1"/>
      <c r="J18" s="1"/>
      <c r="K18" s="1"/>
      <c r="L18" s="4"/>
      <c r="M18" s="1"/>
      <c r="N18" s="1"/>
      <c r="O18" s="1"/>
      <c r="R18"/>
    </row>
    <row r="19" spans="1:18" ht="14.4" x14ac:dyDescent="0.3">
      <c r="A19" s="1"/>
      <c r="B19" s="1"/>
      <c r="C19" s="1"/>
      <c r="D19" s="1"/>
      <c r="E19" s="1"/>
      <c r="F19" s="1"/>
      <c r="G19" s="1"/>
      <c r="H19" s="1"/>
      <c r="I19" s="1"/>
      <c r="K19" s="1"/>
      <c r="L19" s="5"/>
      <c r="M19" s="1"/>
      <c r="N19" s="1"/>
      <c r="O19" s="1"/>
      <c r="R19"/>
    </row>
    <row r="20" spans="1:18" ht="14.4" x14ac:dyDescent="0.3">
      <c r="A20" s="1"/>
      <c r="B20" s="1"/>
      <c r="C20" s="1"/>
      <c r="D20" s="1"/>
      <c r="E20" s="1"/>
      <c r="F20" s="1"/>
      <c r="G20" s="1"/>
      <c r="H20" s="1"/>
      <c r="I20" s="1"/>
      <c r="K20" s="1"/>
      <c r="L20"/>
      <c r="M20" s="1"/>
      <c r="N20" s="1"/>
      <c r="O20" s="1"/>
      <c r="R20"/>
    </row>
    <row r="21" spans="1:18" ht="14.4" x14ac:dyDescent="0.3">
      <c r="A21" s="1"/>
      <c r="B21" s="1"/>
      <c r="C21" s="1"/>
      <c r="D21" s="1"/>
      <c r="E21" s="1"/>
      <c r="F21" s="1"/>
      <c r="G21" s="1"/>
      <c r="K21" s="1"/>
      <c r="L21"/>
      <c r="M21" s="1"/>
      <c r="N21" s="1"/>
      <c r="O21" s="1"/>
      <c r="R21"/>
    </row>
    <row r="22" spans="1:18" ht="14.4" x14ac:dyDescent="0.3">
      <c r="A22" s="1"/>
      <c r="B22" s="1"/>
      <c r="C22" s="1"/>
      <c r="D22" s="1"/>
      <c r="E22" s="1"/>
      <c r="F22" s="1"/>
      <c r="G22" s="1"/>
      <c r="K22" s="1"/>
      <c r="L22"/>
      <c r="M22" s="1"/>
      <c r="N22" s="1"/>
      <c r="O22" s="1"/>
      <c r="R22"/>
    </row>
    <row r="23" spans="1:18" ht="14.4" x14ac:dyDescent="0.3">
      <c r="A23" s="1"/>
      <c r="B23" s="1"/>
      <c r="C23" s="1"/>
      <c r="D23" s="1"/>
      <c r="E23" s="1"/>
      <c r="F23" s="1"/>
      <c r="G23" s="1"/>
      <c r="K23" s="1"/>
      <c r="L23"/>
      <c r="M23" s="1"/>
      <c r="N23" s="1"/>
      <c r="O23" s="1"/>
      <c r="R23"/>
    </row>
    <row r="24" spans="1:18" ht="14.4" x14ac:dyDescent="0.3">
      <c r="A24" s="1"/>
      <c r="B24" s="1"/>
      <c r="C24" s="1"/>
      <c r="D24" s="1"/>
      <c r="E24" s="1"/>
      <c r="F24" s="1"/>
      <c r="G24" s="1"/>
      <c r="K24" s="1"/>
      <c r="L24"/>
      <c r="M24" s="1"/>
      <c r="N24" s="1"/>
      <c r="O24" s="1"/>
      <c r="R24"/>
    </row>
    <row r="25" spans="1:18" ht="14.4" x14ac:dyDescent="0.3">
      <c r="A25" s="1"/>
      <c r="B25" s="1"/>
      <c r="C25" s="1"/>
      <c r="D25" s="1"/>
      <c r="E25" s="1"/>
      <c r="F25" s="1"/>
      <c r="G25" s="1"/>
      <c r="K25" s="1"/>
      <c r="L25"/>
      <c r="M25" s="1"/>
      <c r="N25" s="1"/>
      <c r="O25" s="1"/>
      <c r="R25"/>
    </row>
    <row r="26" spans="1:18" ht="14.4" x14ac:dyDescent="0.3">
      <c r="A26" s="1"/>
      <c r="B26" s="1"/>
      <c r="C26" s="1"/>
      <c r="D26" s="1"/>
      <c r="E26" s="1"/>
      <c r="F26" s="1"/>
      <c r="G26" s="1"/>
      <c r="K26" s="1"/>
      <c r="L26"/>
      <c r="M26" s="1"/>
      <c r="N26" s="1"/>
      <c r="O26" s="1"/>
      <c r="R26"/>
    </row>
    <row r="27" spans="1:18" ht="14.4" x14ac:dyDescent="0.3">
      <c r="A27" s="1"/>
      <c r="B27" s="1"/>
      <c r="C27" s="1"/>
      <c r="D27" s="1"/>
      <c r="E27" s="1"/>
      <c r="F27" s="1"/>
      <c r="G27" s="1"/>
      <c r="K27" s="1"/>
      <c r="L27"/>
      <c r="M27" s="1"/>
      <c r="N27" s="1"/>
      <c r="O27" s="1"/>
      <c r="R27"/>
    </row>
    <row r="28" spans="1:18" ht="14.4" x14ac:dyDescent="0.3">
      <c r="A28" s="1"/>
      <c r="B28" s="1"/>
      <c r="D28" s="1"/>
      <c r="F28" s="1"/>
      <c r="L28"/>
      <c r="R28"/>
    </row>
    <row r="29" spans="1:18" ht="14.4" x14ac:dyDescent="0.3">
      <c r="A29" s="1"/>
      <c r="B29" s="1"/>
      <c r="F29" s="1"/>
      <c r="L29"/>
      <c r="R29"/>
    </row>
    <row r="30" spans="1:18" ht="14.4" x14ac:dyDescent="0.3">
      <c r="A30" s="1"/>
      <c r="B30" s="1"/>
      <c r="F30" s="1"/>
      <c r="L30"/>
      <c r="R30"/>
    </row>
    <row r="31" spans="1:18" ht="14.4" x14ac:dyDescent="0.3">
      <c r="F31" s="1"/>
      <c r="L31"/>
      <c r="R31"/>
    </row>
    <row r="32" spans="1:18" ht="14.4" x14ac:dyDescent="0.3">
      <c r="F32" s="1"/>
      <c r="L32"/>
      <c r="R32"/>
    </row>
    <row r="33" spans="6:18" ht="14.4" x14ac:dyDescent="0.3">
      <c r="F33" s="1"/>
      <c r="L33"/>
      <c r="R33"/>
    </row>
    <row r="34" spans="6:18" ht="14.4" x14ac:dyDescent="0.3">
      <c r="L34"/>
      <c r="R34"/>
    </row>
    <row r="35" spans="6:18" ht="14.4" x14ac:dyDescent="0.3">
      <c r="L35"/>
    </row>
  </sheetData>
  <sortState xmlns:xlrd2="http://schemas.microsoft.com/office/spreadsheetml/2017/richdata2" ref="H3:H7">
    <sortCondition ref="H3:H7"/>
  </sortState>
  <mergeCells count="1">
    <mergeCell ref="A1:AD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4CDB3-7059-47BF-8D20-EC85BBED3E50}">
  <dimension ref="A2:H16"/>
  <sheetViews>
    <sheetView workbookViewId="0">
      <selection activeCell="A11" sqref="A11"/>
    </sheetView>
  </sheetViews>
  <sheetFormatPr baseColWidth="10" defaultColWidth="11.44140625" defaultRowHeight="14.4" x14ac:dyDescent="0.3"/>
  <cols>
    <col min="1" max="1" width="17.33203125" bestFit="1" customWidth="1"/>
    <col min="2" max="2" width="21.44140625" bestFit="1" customWidth="1"/>
    <col min="3" max="3" width="7.33203125" bestFit="1" customWidth="1"/>
    <col min="4" max="4" width="10.5546875" bestFit="1" customWidth="1"/>
    <col min="5" max="5" width="2.5546875" bestFit="1" customWidth="1"/>
    <col min="6" max="6" width="4.44140625" bestFit="1" customWidth="1"/>
    <col min="7" max="7" width="4.33203125" bestFit="1" customWidth="1"/>
    <col min="8" max="10" width="11.88671875" bestFit="1" customWidth="1"/>
    <col min="11" max="11" width="18" bestFit="1" customWidth="1"/>
    <col min="12" max="13" width="11.88671875" bestFit="1" customWidth="1"/>
    <col min="14" max="14" width="12.6640625" bestFit="1" customWidth="1"/>
    <col min="15" max="15" width="15.44140625" bestFit="1" customWidth="1"/>
    <col min="16" max="16" width="12.6640625" bestFit="1" customWidth="1"/>
    <col min="17" max="17" width="4.33203125" bestFit="1" customWidth="1"/>
    <col min="18" max="18" width="15.44140625" bestFit="1" customWidth="1"/>
    <col min="19" max="19" width="12.6640625" bestFit="1" customWidth="1"/>
    <col min="20" max="20" width="4.44140625" bestFit="1" customWidth="1"/>
    <col min="21" max="21" width="15.44140625" bestFit="1" customWidth="1"/>
    <col min="22" max="22" width="12.6640625" bestFit="1" customWidth="1"/>
    <col min="23" max="23" width="4.44140625" bestFit="1" customWidth="1"/>
    <col min="24" max="24" width="4.33203125" bestFit="1" customWidth="1"/>
    <col min="25" max="25" width="15.44140625" bestFit="1" customWidth="1"/>
    <col min="26" max="26" width="12.6640625" bestFit="1" customWidth="1"/>
    <col min="27" max="27" width="10.5546875" bestFit="1" customWidth="1"/>
    <col min="28" max="28" width="4.44140625" bestFit="1" customWidth="1"/>
    <col min="29" max="29" width="4.33203125" bestFit="1" customWidth="1"/>
    <col min="30" max="30" width="15.44140625" bestFit="1" customWidth="1"/>
    <col min="31" max="31" width="12.6640625" bestFit="1" customWidth="1"/>
    <col min="32" max="32" width="15.44140625" bestFit="1" customWidth="1"/>
    <col min="33" max="33" width="12.6640625" bestFit="1" customWidth="1"/>
    <col min="34" max="34" width="15.44140625" bestFit="1" customWidth="1"/>
    <col min="35" max="35" width="12.6640625" bestFit="1" customWidth="1"/>
    <col min="36" max="36" width="15.44140625" bestFit="1" customWidth="1"/>
    <col min="37" max="37" width="12.6640625" bestFit="1" customWidth="1"/>
    <col min="38" max="38" width="15.44140625" bestFit="1" customWidth="1"/>
    <col min="39" max="39" width="12.6640625" bestFit="1" customWidth="1"/>
    <col min="40" max="40" width="15.44140625" bestFit="1" customWidth="1"/>
    <col min="41" max="41" width="12.6640625" bestFit="1" customWidth="1"/>
    <col min="42" max="42" width="15.44140625" bestFit="1" customWidth="1"/>
    <col min="43" max="43" width="12.6640625" bestFit="1" customWidth="1"/>
    <col min="44" max="44" width="7.33203125" bestFit="1" customWidth="1"/>
    <col min="45" max="45" width="10.5546875" bestFit="1" customWidth="1"/>
    <col min="46" max="46" width="2.5546875" bestFit="1" customWidth="1"/>
    <col min="47" max="47" width="4.44140625" bestFit="1" customWidth="1"/>
    <col min="48" max="48" width="4.33203125" bestFit="1" customWidth="1"/>
    <col min="49" max="49" width="15.44140625" bestFit="1" customWidth="1"/>
    <col min="50" max="50" width="11.88671875" bestFit="1" customWidth="1"/>
  </cols>
  <sheetData>
    <row r="2" spans="1:8" x14ac:dyDescent="0.3">
      <c r="A2" s="41" t="s">
        <v>28</v>
      </c>
      <c r="B2" t="s">
        <v>385</v>
      </c>
    </row>
    <row r="4" spans="1:8" x14ac:dyDescent="0.3">
      <c r="A4" s="41" t="s">
        <v>384</v>
      </c>
      <c r="B4" s="41" t="s">
        <v>455</v>
      </c>
    </row>
    <row r="5" spans="1:8" x14ac:dyDescent="0.3">
      <c r="A5" s="41" t="s">
        <v>382</v>
      </c>
      <c r="B5" t="s">
        <v>3</v>
      </c>
      <c r="C5" t="s">
        <v>17</v>
      </c>
      <c r="D5" t="s">
        <v>169</v>
      </c>
      <c r="E5" t="s">
        <v>15</v>
      </c>
      <c r="F5" t="s">
        <v>181</v>
      </c>
      <c r="G5" t="s">
        <v>130</v>
      </c>
      <c r="H5" t="s">
        <v>14</v>
      </c>
    </row>
    <row r="6" spans="1:8" x14ac:dyDescent="0.3">
      <c r="A6" s="42" t="s">
        <v>71</v>
      </c>
      <c r="B6">
        <v>2</v>
      </c>
      <c r="C6">
        <v>1</v>
      </c>
      <c r="D6">
        <v>1</v>
      </c>
      <c r="F6">
        <v>6</v>
      </c>
      <c r="G6">
        <v>3</v>
      </c>
      <c r="H6">
        <v>13</v>
      </c>
    </row>
    <row r="7" spans="1:8" x14ac:dyDescent="0.3">
      <c r="A7" s="42" t="s">
        <v>54</v>
      </c>
      <c r="B7">
        <v>1</v>
      </c>
      <c r="F7">
        <v>5</v>
      </c>
      <c r="G7">
        <v>3</v>
      </c>
      <c r="H7">
        <v>9</v>
      </c>
    </row>
    <row r="8" spans="1:8" x14ac:dyDescent="0.3">
      <c r="A8" s="42" t="s">
        <v>456</v>
      </c>
      <c r="B8">
        <v>13</v>
      </c>
      <c r="D8">
        <v>1</v>
      </c>
      <c r="F8">
        <v>2</v>
      </c>
      <c r="G8">
        <v>2</v>
      </c>
      <c r="H8">
        <v>18</v>
      </c>
    </row>
    <row r="9" spans="1:8" x14ac:dyDescent="0.3">
      <c r="A9" s="42" t="s">
        <v>457</v>
      </c>
      <c r="D9">
        <v>1</v>
      </c>
      <c r="F9">
        <v>2</v>
      </c>
      <c r="H9">
        <v>3</v>
      </c>
    </row>
    <row r="10" spans="1:8" x14ac:dyDescent="0.3">
      <c r="A10" s="42" t="s">
        <v>458</v>
      </c>
      <c r="B10">
        <v>7</v>
      </c>
      <c r="C10">
        <v>2</v>
      </c>
      <c r="D10">
        <v>1</v>
      </c>
      <c r="F10">
        <v>4</v>
      </c>
      <c r="G10">
        <v>3</v>
      </c>
      <c r="H10">
        <v>17</v>
      </c>
    </row>
    <row r="11" spans="1:8" x14ac:dyDescent="0.3">
      <c r="A11" s="42" t="s">
        <v>449</v>
      </c>
      <c r="B11">
        <v>1</v>
      </c>
      <c r="D11">
        <v>3</v>
      </c>
      <c r="F11">
        <v>24</v>
      </c>
      <c r="G11">
        <v>17</v>
      </c>
      <c r="H11">
        <v>45</v>
      </c>
    </row>
    <row r="12" spans="1:8" x14ac:dyDescent="0.3">
      <c r="A12" s="172" t="s">
        <v>48</v>
      </c>
      <c r="B12" s="173">
        <v>46</v>
      </c>
      <c r="C12" s="173">
        <v>3</v>
      </c>
      <c r="D12" s="173">
        <v>1</v>
      </c>
      <c r="E12" s="173">
        <v>1</v>
      </c>
      <c r="F12" s="173">
        <v>7</v>
      </c>
      <c r="G12" s="173">
        <v>19</v>
      </c>
      <c r="H12" s="173">
        <v>77</v>
      </c>
    </row>
    <row r="13" spans="1:8" x14ac:dyDescent="0.3">
      <c r="A13" s="42" t="s">
        <v>453</v>
      </c>
      <c r="B13">
        <v>5</v>
      </c>
      <c r="G13">
        <v>3</v>
      </c>
      <c r="H13">
        <v>8</v>
      </c>
    </row>
    <row r="14" spans="1:8" x14ac:dyDescent="0.3">
      <c r="A14" s="42" t="s">
        <v>454</v>
      </c>
      <c r="B14">
        <v>2</v>
      </c>
      <c r="F14">
        <v>3</v>
      </c>
      <c r="H14">
        <v>5</v>
      </c>
    </row>
    <row r="15" spans="1:8" x14ac:dyDescent="0.3">
      <c r="A15" s="42" t="s">
        <v>452</v>
      </c>
      <c r="B15">
        <v>1</v>
      </c>
      <c r="D15">
        <v>1</v>
      </c>
      <c r="F15">
        <v>3</v>
      </c>
      <c r="G15">
        <v>4</v>
      </c>
      <c r="H15">
        <v>9</v>
      </c>
    </row>
    <row r="16" spans="1:8" x14ac:dyDescent="0.3">
      <c r="A16" s="42" t="s">
        <v>14</v>
      </c>
      <c r="B16">
        <v>78</v>
      </c>
      <c r="C16">
        <v>6</v>
      </c>
      <c r="D16">
        <v>9</v>
      </c>
      <c r="E16">
        <v>1</v>
      </c>
      <c r="F16">
        <v>56</v>
      </c>
      <c r="G16">
        <v>54</v>
      </c>
      <c r="H16">
        <v>204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e2aa9db-5b3b-4d7f-966c-2d2b7333b58b">
      <Terms xmlns="http://schemas.microsoft.com/office/infopath/2007/PartnerControls"/>
    </lcf76f155ced4ddcb4097134ff3c332f>
    <TaxCatchAll xmlns="2136a08c-b6ed-4105-889e-66f59eb8c211"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2CB1C393D5D15D4DB9A1ED6EB21FE756" ma:contentTypeVersion="12" ma:contentTypeDescription="Crear nuevo documento." ma:contentTypeScope="" ma:versionID="1f27c0c18dbadca192e466d1afd0c5b3">
  <xsd:schema xmlns:xsd="http://www.w3.org/2001/XMLSchema" xmlns:xs="http://www.w3.org/2001/XMLSchema" xmlns:p="http://schemas.microsoft.com/office/2006/metadata/properties" xmlns:ns2="0e2aa9db-5b3b-4d7f-966c-2d2b7333b58b" xmlns:ns3="2136a08c-b6ed-4105-889e-66f59eb8c211" targetNamespace="http://schemas.microsoft.com/office/2006/metadata/properties" ma:root="true" ma:fieldsID="1cd3f460a593ab7760b72def17a15fa7" ns2:_="" ns3:_="">
    <xsd:import namespace="0e2aa9db-5b3b-4d7f-966c-2d2b7333b58b"/>
    <xsd:import namespace="2136a08c-b6ed-4105-889e-66f59eb8c2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2aa9db-5b3b-4d7f-966c-2d2b7333b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dd210e1-0bf9-4a28-9524-23c27b51d3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136a08c-b6ed-4105-889e-66f59eb8c21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fbd7dbf-72bb-4cb9-8dd8-419744413e32}" ma:internalName="TaxCatchAll" ma:showField="CatchAllData" ma:web="2136a08c-b6ed-4105-889e-66f59eb8c2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92F511-C707-4C13-8748-B2EC043E9D10}">
  <ds:schemaRefs>
    <ds:schemaRef ds:uri="http://schemas.microsoft.com/office/2006/documentManagement/types"/>
    <ds:schemaRef ds:uri="http://purl.org/dc/dcmitype/"/>
    <ds:schemaRef ds:uri="http://www.w3.org/XML/1998/namespace"/>
    <ds:schemaRef ds:uri="http://purl.org/dc/terms/"/>
    <ds:schemaRef ds:uri="http://purl.org/dc/elements/1.1/"/>
    <ds:schemaRef ds:uri="0e2aa9db-5b3b-4d7f-966c-2d2b7333b58b"/>
    <ds:schemaRef ds:uri="http://schemas.openxmlformats.org/package/2006/metadata/core-properties"/>
    <ds:schemaRef ds:uri="http://schemas.microsoft.com/office/infopath/2007/PartnerControls"/>
    <ds:schemaRef ds:uri="2136a08c-b6ed-4105-889e-66f59eb8c211"/>
    <ds:schemaRef ds:uri="http://schemas.microsoft.com/office/2006/metadata/properties"/>
  </ds:schemaRefs>
</ds:datastoreItem>
</file>

<file path=customXml/itemProps2.xml><?xml version="1.0" encoding="utf-8"?>
<ds:datastoreItem xmlns:ds="http://schemas.openxmlformats.org/officeDocument/2006/customXml" ds:itemID="{5289B33B-2BB3-4C74-83C6-B5CAB098D8F3}">
  <ds:schemaRefs>
    <ds:schemaRef ds:uri="http://schemas.microsoft.com/DataMashup"/>
  </ds:schemaRefs>
</ds:datastoreItem>
</file>

<file path=customXml/itemProps3.xml><?xml version="1.0" encoding="utf-8"?>
<ds:datastoreItem xmlns:ds="http://schemas.openxmlformats.org/officeDocument/2006/customXml" ds:itemID="{7EEB53F1-F159-4511-8920-16972D124E49}">
  <ds:schemaRefs>
    <ds:schemaRef ds:uri="http://schemas.microsoft.com/sharepoint/v3/contenttype/forms"/>
  </ds:schemaRefs>
</ds:datastoreItem>
</file>

<file path=customXml/itemProps4.xml><?xml version="1.0" encoding="utf-8"?>
<ds:datastoreItem xmlns:ds="http://schemas.openxmlformats.org/officeDocument/2006/customXml" ds:itemID="{F3158024-6BA9-4B0B-827B-582500E92D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2aa9db-5b3b-4d7f-966c-2d2b7333b58b"/>
    <ds:schemaRef ds:uri="2136a08c-b6ed-4105-889e-66f59eb8c2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Hoja1 (2)</vt:lpstr>
      <vt:lpstr>Incidencias</vt:lpstr>
      <vt:lpstr>Hoja1</vt:lpstr>
      <vt:lpstr>Comite</vt:lpstr>
      <vt:lpstr>Horas</vt:lpstr>
      <vt:lpstr>Plan</vt:lpstr>
      <vt:lpstr>CdM</vt:lpstr>
      <vt:lpstr>CdM2</vt:lpstr>
      <vt:lpstr>Datos</vt:lpstr>
      <vt:lpstr>Status</vt:lpstr>
      <vt:lpstr>Incidencias!Área_de_impresión</vt:lpstr>
      <vt:lpstr>Incidencias!Títulos_a_imprimir</vt:lpstr>
    </vt:vector>
  </TitlesOfParts>
  <Manager/>
  <Company>Grupo Barloworld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Coelho</dc:creator>
  <cp:keywords/>
  <dc:description/>
  <cp:lastModifiedBy>Alvaro de la Matta</cp:lastModifiedBy>
  <cp:revision/>
  <dcterms:created xsi:type="dcterms:W3CDTF">2019-01-25T14:56:31Z</dcterms:created>
  <dcterms:modified xsi:type="dcterms:W3CDTF">2026-01-31T22:55:14Z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0x0101002CB1C393D5D15D4DB9A1ED6EB21FE756</vt:lpwstr>
  </property>
  <property fmtid="{D5CDD505-2E9C-101B-9397-08002B2CF9AE}" pid="4" name="MediaServiceImageTags">
    <vt:lpwstr/>
  </property>
</Properties>
</file>